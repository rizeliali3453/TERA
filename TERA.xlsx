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284EBD17-2F2A-4C3A-BE84-30FFE55226A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emplate3" sheetId="5" r:id="rId1"/>
    <sheet name="Selection List" sheetId="1" r:id="rId2"/>
    <sheet name="Sheet1" sheetId="4" state="hidden" r:id="rId3"/>
    <sheet name="Sayfa2" sheetId="2" state="hidden" r:id="rId4"/>
  </sheets>
  <definedNames>
    <definedName name="_xlnm._FilterDatabase" localSheetId="2" hidden="1">Sheet1!$A$1:$E$219</definedName>
    <definedName name="_xlnm.Print_Area" localSheetId="0">Template3!$A$1:$E$118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D95" i="4"/>
  <c r="D108" i="4"/>
  <c r="G108" i="4" s="1"/>
  <c r="D112" i="4"/>
  <c r="G112" i="4" s="1"/>
  <c r="D111" i="4"/>
  <c r="G111" i="4" s="1"/>
  <c r="G109" i="4"/>
  <c r="G110" i="4"/>
  <c r="D135" i="4"/>
  <c r="B55" i="5"/>
  <c r="B54" i="5"/>
  <c r="B53" i="5"/>
  <c r="D117" i="4" l="1"/>
  <c r="D4" i="4" l="1"/>
  <c r="D3" i="4"/>
  <c r="D2" i="4"/>
  <c r="D33" i="4" l="1"/>
  <c r="D132" i="4" l="1"/>
  <c r="D131" i="4"/>
  <c r="D118" i="4"/>
  <c r="G118" i="4" s="1"/>
  <c r="D100" i="4"/>
  <c r="D123" i="4" l="1"/>
  <c r="D149" i="4" l="1"/>
  <c r="D148" i="4"/>
  <c r="D146" i="4"/>
  <c r="D150" i="4"/>
  <c r="D151" i="4"/>
  <c r="D127" i="4"/>
  <c r="D133" i="4"/>
  <c r="D128" i="4"/>
  <c r="D126" i="4"/>
  <c r="D121" i="4"/>
  <c r="D120" i="4"/>
  <c r="D119" i="4"/>
  <c r="D153" i="4"/>
  <c r="G153" i="4" s="1"/>
  <c r="D152" i="4"/>
  <c r="G152" i="4" s="1"/>
  <c r="G14" i="4"/>
  <c r="G20" i="4"/>
  <c r="G36" i="4"/>
  <c r="G37" i="4"/>
  <c r="G38" i="4"/>
  <c r="G41" i="4"/>
  <c r="G48" i="4"/>
  <c r="G49" i="4"/>
  <c r="G50" i="4"/>
  <c r="G71" i="4"/>
  <c r="G72" i="4"/>
  <c r="G75" i="4"/>
  <c r="G76" i="4"/>
  <c r="G77" i="4"/>
  <c r="G78" i="4"/>
  <c r="G79" i="4"/>
  <c r="G80" i="4"/>
  <c r="G81" i="4"/>
  <c r="G82" i="4"/>
  <c r="G83" i="4"/>
  <c r="G84" i="4"/>
  <c r="G85" i="4"/>
  <c r="G93" i="4"/>
  <c r="G94" i="4"/>
  <c r="G104" i="4"/>
  <c r="G140" i="4"/>
  <c r="G160" i="4"/>
  <c r="G161" i="4"/>
  <c r="G162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D164" i="4"/>
  <c r="G164" i="4" s="1"/>
  <c r="D163" i="4"/>
  <c r="G163" i="4" s="1"/>
  <c r="D30" i="4"/>
  <c r="G30" i="4" s="1"/>
  <c r="D113" i="4" l="1"/>
  <c r="G113" i="4" s="1"/>
  <c r="D114" i="4"/>
  <c r="G114" i="4" s="1"/>
  <c r="D159" i="4"/>
  <c r="G159" i="4" s="1"/>
  <c r="D158" i="4"/>
  <c r="G158" i="4" s="1"/>
  <c r="D157" i="4"/>
  <c r="G157" i="4" s="1"/>
  <c r="D156" i="4"/>
  <c r="G156" i="4" s="1"/>
  <c r="G151" i="4"/>
  <c r="G150" i="4"/>
  <c r="G149" i="4"/>
  <c r="G148" i="4"/>
  <c r="D147" i="4"/>
  <c r="G147" i="4" s="1"/>
  <c r="G146" i="4"/>
  <c r="D145" i="4"/>
  <c r="G145" i="4" s="1"/>
  <c r="D144" i="4"/>
  <c r="G144" i="4" s="1"/>
  <c r="D143" i="4"/>
  <c r="G143" i="4" s="1"/>
  <c r="D142" i="4"/>
  <c r="G142" i="4" s="1"/>
  <c r="D141" i="4"/>
  <c r="G141" i="4" s="1"/>
  <c r="D155" i="4"/>
  <c r="G155" i="4" s="1"/>
  <c r="D154" i="4"/>
  <c r="G154" i="4" s="1"/>
  <c r="D138" i="4"/>
  <c r="G138" i="4" s="1"/>
  <c r="D137" i="4"/>
  <c r="G137" i="4" s="1"/>
  <c r="D13" i="4"/>
  <c r="G13" i="4" s="1"/>
  <c r="D139" i="4"/>
  <c r="G139" i="4" s="1"/>
  <c r="D136" i="4"/>
  <c r="G136" i="4" s="1"/>
  <c r="G135" i="4"/>
  <c r="D134" i="4"/>
  <c r="G134" i="4" s="1"/>
  <c r="G133" i="4"/>
  <c r="G132" i="4"/>
  <c r="G131" i="4"/>
  <c r="D130" i="4"/>
  <c r="G130" i="4" s="1"/>
  <c r="D129" i="4"/>
  <c r="G129" i="4" s="1"/>
  <c r="G128" i="4"/>
  <c r="G127" i="4"/>
  <c r="G126" i="4"/>
  <c r="G121" i="4"/>
  <c r="G120" i="4"/>
  <c r="G119" i="4"/>
  <c r="G117" i="4"/>
  <c r="D125" i="4"/>
  <c r="G125" i="4" s="1"/>
  <c r="D124" i="4"/>
  <c r="G124" i="4" s="1"/>
  <c r="G123" i="4"/>
  <c r="D122" i="4"/>
  <c r="G122" i="4" s="1"/>
  <c r="D116" i="4" a="1"/>
  <c r="D116" i="4" s="1"/>
  <c r="G116" i="4" s="1"/>
  <c r="D115" i="4" a="1"/>
  <c r="D115" i="4" s="1"/>
  <c r="G115" i="4" s="1"/>
  <c r="D92" i="4"/>
  <c r="G92" i="4" s="1"/>
  <c r="D91" i="4"/>
  <c r="G91" i="4" s="1"/>
  <c r="D90" i="4"/>
  <c r="G90" i="4" s="1"/>
  <c r="D89" i="4"/>
  <c r="G89" i="4" s="1"/>
  <c r="G33" i="4"/>
  <c r="D32" i="4"/>
  <c r="G32" i="4" s="1"/>
  <c r="D107" i="4" l="1"/>
  <c r="G107" i="4" s="1"/>
  <c r="D106" i="4"/>
  <c r="G106" i="4" s="1"/>
  <c r="D105" i="4"/>
  <c r="G105" i="4" s="1"/>
  <c r="D103" i="4"/>
  <c r="G103" i="4" s="1"/>
  <c r="D102" i="4"/>
  <c r="G102" i="4" s="1"/>
  <c r="D101" i="4"/>
  <c r="G101" i="4" s="1"/>
  <c r="G100" i="4"/>
  <c r="D99" i="4"/>
  <c r="G99" i="4" s="1"/>
  <c r="D98" i="4"/>
  <c r="G98" i="4" s="1"/>
  <c r="D97" i="4"/>
  <c r="G97" i="4" s="1"/>
  <c r="D96" i="4"/>
  <c r="G96" i="4" s="1"/>
  <c r="G95" i="4"/>
  <c r="D54" i="4" l="1"/>
  <c r="G54" i="4" s="1"/>
  <c r="D55" i="4"/>
  <c r="G55" i="4" s="1"/>
  <c r="D56" i="4"/>
  <c r="G56" i="4" s="1"/>
  <c r="D64" i="4"/>
  <c r="G64" i="4" s="1"/>
  <c r="D65" i="4"/>
  <c r="G65" i="4" s="1"/>
  <c r="D66" i="4"/>
  <c r="G66" i="4" s="1"/>
  <c r="D86" i="4"/>
  <c r="G86" i="4" s="1"/>
  <c r="D87" i="4"/>
  <c r="G87" i="4" s="1"/>
  <c r="D88" i="4"/>
  <c r="G88" i="4" s="1"/>
  <c r="D74" i="4"/>
  <c r="G74" i="4" s="1"/>
  <c r="D73" i="4"/>
  <c r="G73" i="4" s="1"/>
  <c r="D67" i="4"/>
  <c r="G67" i="4" s="1"/>
  <c r="D70" i="4"/>
  <c r="G70" i="4" s="1"/>
  <c r="D69" i="4"/>
  <c r="G69" i="4" s="1"/>
  <c r="D68" i="4"/>
  <c r="G68" i="4" s="1"/>
  <c r="D60" i="4"/>
  <c r="G60" i="4" s="1"/>
  <c r="D59" i="4"/>
  <c r="G59" i="4" s="1"/>
  <c r="D58" i="4"/>
  <c r="G58" i="4" s="1"/>
  <c r="D57" i="4"/>
  <c r="G57" i="4" s="1"/>
  <c r="D63" i="4"/>
  <c r="G63" i="4" s="1"/>
  <c r="D62" i="4"/>
  <c r="G62" i="4" s="1"/>
  <c r="D61" i="4"/>
  <c r="G61" i="4" s="1"/>
  <c r="D53" i="4"/>
  <c r="G53" i="4" s="1"/>
  <c r="D52" i="4"/>
  <c r="G52" i="4" s="1"/>
  <c r="D51" i="4"/>
  <c r="G51" i="4" s="1"/>
  <c r="D46" i="4"/>
  <c r="G46" i="4" s="1"/>
  <c r="D47" i="4"/>
  <c r="G47" i="4" s="1"/>
  <c r="D45" i="4"/>
  <c r="G45" i="4" s="1"/>
  <c r="D42" i="4"/>
  <c r="G42" i="4" s="1"/>
  <c r="D44" i="4"/>
  <c r="G44" i="4" s="1"/>
  <c r="D43" i="4"/>
  <c r="G43" i="4" s="1"/>
  <c r="D40" i="4"/>
  <c r="G40" i="4" s="1"/>
  <c r="D39" i="4"/>
  <c r="G39" i="4" s="1"/>
  <c r="D35" i="4"/>
  <c r="G35" i="4" s="1"/>
  <c r="D34" i="4"/>
  <c r="G34" i="4" s="1"/>
  <c r="D31" i="4"/>
  <c r="G31" i="4" s="1"/>
  <c r="D29" i="4"/>
  <c r="G29" i="4" s="1"/>
  <c r="D28" i="4"/>
  <c r="G28" i="4" s="1"/>
  <c r="D27" i="4"/>
  <c r="G27" i="4" s="1"/>
  <c r="D26" i="4"/>
  <c r="G26" i="4" s="1"/>
  <c r="D25" i="4"/>
  <c r="G25" i="4" s="1"/>
  <c r="D24" i="4"/>
  <c r="G24" i="4" s="1"/>
  <c r="D23" i="4"/>
  <c r="G23" i="4" s="1"/>
  <c r="D22" i="4"/>
  <c r="G22" i="4" s="1"/>
  <c r="D21" i="4"/>
  <c r="G21" i="4" s="1"/>
  <c r="D19" i="4"/>
  <c r="G19" i="4" s="1"/>
  <c r="D18" i="4"/>
  <c r="G18" i="4" s="1"/>
  <c r="G2" i="4"/>
  <c r="D17" i="4"/>
  <c r="G17" i="4" s="1"/>
  <c r="D16" i="4"/>
  <c r="G16" i="4" s="1"/>
  <c r="D15" i="4"/>
  <c r="G15" i="4" s="1"/>
  <c r="D12" i="4"/>
  <c r="G12" i="4" s="1"/>
  <c r="D11" i="4" a="1"/>
  <c r="D11" i="4" s="1"/>
  <c r="G11" i="4" s="1"/>
  <c r="D10" i="4"/>
  <c r="G10" i="4" s="1"/>
  <c r="D9" i="4"/>
  <c r="G9" i="4" s="1"/>
  <c r="D8" i="4"/>
  <c r="G8" i="4" s="1"/>
  <c r="D7" i="4"/>
  <c r="G7" i="4" s="1"/>
  <c r="D6" i="4"/>
  <c r="G6" i="4" s="1"/>
  <c r="D5" i="4"/>
  <c r="G5" i="4" s="1"/>
  <c r="G4" i="4"/>
  <c r="G3" i="4"/>
  <c r="F218" i="4" l="1"/>
  <c r="B24" i="1"/>
  <c r="C4" i="2" l="1"/>
  <c r="C5" i="2"/>
  <c r="C6" i="2"/>
  <c r="C7" i="2"/>
  <c r="C8" i="2"/>
  <c r="C9" i="2"/>
  <c r="C10" i="2"/>
  <c r="C12" i="2"/>
  <c r="C15" i="2"/>
  <c r="C16" i="2"/>
  <c r="C17" i="2"/>
  <c r="C18" i="2"/>
  <c r="C19" i="2"/>
  <c r="C20" i="2"/>
  <c r="C21" i="2"/>
  <c r="C27" i="2"/>
  <c r="C28" i="2"/>
  <c r="C29" i="2"/>
  <c r="C30" i="2"/>
  <c r="C36" i="2"/>
  <c r="C39" i="2"/>
  <c r="C40" i="2"/>
  <c r="C41" i="2"/>
  <c r="C44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" i="2"/>
  <c r="C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A1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Available for B and F Flow Configuration</t>
        </r>
      </text>
    </comment>
    <comment ref="A2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@Ahmet Murat Tunç @Nadide Asuman Yaraş I see that in systemp selection we can also add 3 way valve. Maybe we can leave this option but mark that it is to be installed outside the unit?
Reply:
    @Anna Kondratenko added
Reply:
    @Ahmet Murat Tunç thank you</t>
        </r>
      </text>
    </comment>
    <comment ref="A28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@Ahmet Murat Tunç @Nadide Asuman Yaraş please add here option for extra temperature sensors
Reply:
    @Anna Kondratenko done</t>
        </r>
      </text>
    </comment>
    <comment ref="A36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@Ahmet Murat Tunç in some cases there is requirement for no neutral power supply. Can we provide such option off the shelve?
Reply:
    @Anna Kondratenko If we add no neutral option, it will not be possible to add extra equipment's to the control panel on full option. I prefer to keep it as special requirement. As you know customer will not ask for full option %99 but it will be a risk for no reason. Also in Rennes, when we talked with customer, they were OK to give neutral. So, it wasn't really a requirement from customer side, they were also surprised when they saw the unit. They asked for neutral connection on FAT.
Reply:
    Addition to the SEmih when we choose without N, panel depth and dminesion is not enough. 
Reply:
    @Ahmet Murat Tunç @Semih Uyar ok, then we take it as special requirement</t>
        </r>
      </text>
    </comment>
    <comment ref="B42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@Ahmet Murat Tunç @Nadide Asuman Yaraş please clarify here&gt; one user terminal will be common for group of XX units 
Reply:
    @Anna Kondratenko done</t>
        </r>
      </text>
    </comment>
    <comment ref="B43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@Nadide Asuman Yaraş @Ahmet Murat Tunç please clarify here that it will be text base
Reply:
    @Anna Kondratenko done.</t>
        </r>
      </text>
    </comment>
    <comment ref="B45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@Ahmet Murat Tunç @Nadide Asuman Yaraş add clarification regarding fans with passive harmonic filters on default
Reply:
    @Anna Kondratenko done</t>
        </r>
      </text>
    </comment>
    <comment ref="A55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@Ahmet Murat Tunç @Nadide Asuman Yaraş add communicational protocols
Reply:
    @Anna Kondratenko done</t>
        </r>
      </text>
    </comment>
    <comment ref="A6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@Serhan Tayfun Arslan please clarify here it is air supply. 
Reply:
    @Serhan Tayfun Arslan what do you mean with all side? I would put next&gt; F - for frontal, B - bottom supply air to 3 sides in the false floor
Reply:
    @Anna Kondratenko By all side I mean airflow from all sides. I corrected F and B option.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N:\R&amp;D\01.ÜRÜNLER\71-GENIOX TERA\4.Geniox Tera C\14. Bill of Materials\02.Cost of Materials\PRICES FOR NOMENCLATURE SELECTION.xlsx" keepAlive="1" name="PRICES FOR NOMENCLATURE SELECTION" type="5" refreshedVersion="0" new="1" background="1">
    <dbPr connection="Provider=Microsoft.ACE.OLEDB.12.0;Password=&quot;&quot;;User ID=Admin;Data Source=N:\R&amp;D\01.ÜRÜNLER\71-GENIOX TERA\4.Geniox Tera C\14. Bill of Materials\02.Cost of Materials\PRICES FOR NOMENCLATURE SELECTION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TERA C FAMILY ALL PRICE LIST$'" commandType="3"/>
  </connection>
  <connection id="2" xr16:uid="{00000000-0015-0000-FFFF-FFFF01000000}" sourceFile="N:\R&amp;D\01.ÜRÜNLER\71-GENIOX TERA\4.Geniox Tera C\14. Bill of Materials\02.Cost of Materials\PRICES FOR NOMENCLATURE SELECTION.xlsx" keepAlive="1" name="PRICES FOR NOMENCLATURE SELECTION1" type="5" refreshedVersion="0" new="1" background="1">
    <dbPr connection="Provider=Microsoft.ACE.OLEDB.12.0;Password=&quot;&quot;;User ID=Admin;Data Source=N:\R&amp;D\01.ÜRÜNLER\71-GENIOX TERA\4.Geniox Tera C\14. Bill of Materials\02.Cost of Materials\PRICES FOR NOMENCLATURE SELECTION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'TERA C FAMILY NOMENCLATURE$'" commandType="3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<sst xmlns="http://schemas.openxmlformats.org/spreadsheetml/2006/main" count="919" uniqueCount="623">
  <si>
    <t>FLOW CONFIGURATION</t>
  </si>
  <si>
    <t>PIPE SIDE</t>
  </si>
  <si>
    <t>WATER CONDITION</t>
  </si>
  <si>
    <t>HUMIDIFICATION</t>
  </si>
  <si>
    <t>ESP</t>
  </si>
  <si>
    <t>DAMPER</t>
  </si>
  <si>
    <t>Temp Sensors</t>
  </si>
  <si>
    <t>Leak Detaction</t>
  </si>
  <si>
    <t>Valve Options</t>
  </si>
  <si>
    <t>Corridor Control</t>
  </si>
  <si>
    <t>Power</t>
  </si>
  <si>
    <t>Power Supply</t>
  </si>
  <si>
    <t>Power Measurment</t>
  </si>
  <si>
    <t>HMI</t>
  </si>
  <si>
    <t>Harmonic Filter</t>
  </si>
  <si>
    <t>Panel Socket</t>
  </si>
  <si>
    <t>Fire Protection</t>
  </si>
  <si>
    <t>Communication Protocols for BMS</t>
  </si>
  <si>
    <t>WSCO and Teamwork</t>
  </si>
  <si>
    <t>Flow Direction</t>
  </si>
  <si>
    <t>Safety Water Control Options</t>
  </si>
  <si>
    <t>B</t>
  </si>
  <si>
    <t>F</t>
  </si>
  <si>
    <t>M</t>
  </si>
  <si>
    <t>L</t>
  </si>
  <si>
    <t>R</t>
  </si>
  <si>
    <t>H</t>
  </si>
  <si>
    <t>S</t>
  </si>
  <si>
    <t>= STEAM HUMIDIFIER 15kg/h</t>
  </si>
  <si>
    <t>= 100 Pa ESP</t>
  </si>
  <si>
    <t>= 50 Pa ESP</t>
  </si>
  <si>
    <t>O</t>
  </si>
  <si>
    <t>N</t>
  </si>
  <si>
    <t>= Only 0-10V Cooling Demand output</t>
  </si>
  <si>
    <t>= Flowmeter and 0-10V Output</t>
  </si>
  <si>
    <t>= 3 Way Valve (Valve possitioned out of the unit at the pipe outlet,  bypass line should be done by customer)</t>
  </si>
  <si>
    <t>= 2 Way Valve</t>
  </si>
  <si>
    <t>E</t>
  </si>
  <si>
    <t>= 2 Way Valve w Energy Measurement</t>
  </si>
  <si>
    <t>P</t>
  </si>
  <si>
    <t>= Corridors dP and Temperature Sensor***</t>
  </si>
  <si>
    <t>= Corridors Double dP and Temperature Sensor***</t>
  </si>
  <si>
    <t>=Temperature Sensor ***</t>
  </si>
  <si>
    <t>= 400V /3P+N / 50hZ</t>
  </si>
  <si>
    <t>= 400V / 3P+N / 60Hz</t>
  </si>
  <si>
    <t>U</t>
  </si>
  <si>
    <t>A</t>
  </si>
  <si>
    <t>= None *</t>
  </si>
  <si>
    <t>= On Control Panel (Text-Based)</t>
  </si>
  <si>
    <t>= None **</t>
  </si>
  <si>
    <t>: Supply from the front side</t>
  </si>
  <si>
    <t>: Bottom supply air to 3 sides ( front, left and right)</t>
  </si>
  <si>
    <t>: All side</t>
  </si>
  <si>
    <t>: Shut Of Valve</t>
  </si>
  <si>
    <t>: None</t>
  </si>
  <si>
    <t>B= TOP SIDE RETURN BOTTOM SUPPLY; F= TOP SIDE RETURN FRONT SUPPLY; M= FRONT SIDE RETURN BOTTOM SUPPLY</t>
  </si>
  <si>
    <t>L=Left; R=Right</t>
  </si>
  <si>
    <t xml:space="preserve">L= 20/28 ; H=20/30 </t>
  </si>
  <si>
    <t>S= STEAM HUMIDIFIER 15kg/h ; 0= NONE</t>
  </si>
  <si>
    <t>H= 100 Pa ESP; L= 50 Pa ESP ; S= …. Pa ESP</t>
  </si>
  <si>
    <t>1= ON TOP ; 0= NONE</t>
  </si>
  <si>
    <t>S= Wire Type ; O= Additional Leak Sensor</t>
  </si>
  <si>
    <t>CAPACITY</t>
  </si>
  <si>
    <t>0= 400V /3P+N / 50hZ; 1= 400V / 3P+N / 60Hz</t>
  </si>
  <si>
    <t>0= None; A=CF Type Socket</t>
  </si>
  <si>
    <t>0=None; 1=BacNET IP; 2=BacNET MSTP; 3=Modbus RTU; 4=Modbus TCP/IP</t>
  </si>
  <si>
    <t>F : Supply from the front side; B : Bottom supply air to 3 sides ( front, left and right); A : All side</t>
  </si>
  <si>
    <t>Unit Code = TERA C</t>
  </si>
  <si>
    <t>S= Only Average Temp Sensor on Return/Supply Air; O= Additional Temp/Hum Sensor on Return/Supply Air</t>
  </si>
  <si>
    <t>N= 0-10V Output w Temp Measurement; F= 0-10V Output w Flow/Temp Measurement; 3= 3 Way Valve; 2= 2 Way Valve w Temp Measurement; E= 2 Way Smart Energy Management Valve (EV) P= 2 Way Flow-Pressure Independent Valve (PICV)</t>
  </si>
  <si>
    <t>0= None; 1= Corridors dP; 2= Double dP; 3= Corridor dP, Temperature &amp; Humidity Sensor; 4= Double Corridor dP, Temperature &amp; Humidity Sensor; 5=Temperature &amp; Humidity Sensor</t>
  </si>
  <si>
    <t>Corridor Sensor</t>
  </si>
  <si>
    <t>Power Input</t>
  </si>
  <si>
    <t>Power Option</t>
  </si>
  <si>
    <t>0= None *; 1= Magnetic Text Based Display with Ethernet Socket Connection; 2= Panel Mounted Touch Panel Display</t>
  </si>
  <si>
    <t>0= None 0 : 1= Available</t>
  </si>
  <si>
    <t>1= Corridor Temperature Sensor is only for monitoring</t>
  </si>
  <si>
    <t>2= Corridor Temperature Sensor will be included on supply air</t>
  </si>
  <si>
    <t>0: N/A; 1= Corridor Temperature Sensor is only for monitoring; 2= Corridor Temperature Sensor will be included on supply air</t>
  </si>
  <si>
    <t>N= None; A= ATS; B= ATS &amp; UltraCap; U= UltraCap</t>
  </si>
  <si>
    <t>0= None; 3= Energy Analyser</t>
  </si>
  <si>
    <t>N= None; 0= Shutdown on fire without sensor; 1= Continue on fire without sensor; 2= Shutdown with Smoke; 3= Continue with Smoke</t>
  </si>
  <si>
    <t>* There will be no display at all. One text-based screen can be used in all units. If you choose none, please consider that you have to buy one text-based at least. ** If there is no electrical power measurement, WSCO will not be available.</t>
  </si>
  <si>
    <t>0= None ; 1= Active PFC ; 2= Fans with Active PFC</t>
  </si>
  <si>
    <t>0= None; 1=Teamwork; 2=WSCO**; 3=Teamwork and WSCO</t>
  </si>
  <si>
    <t>Product Number</t>
  </si>
  <si>
    <t>Product Description</t>
  </si>
  <si>
    <t>Amount</t>
  </si>
  <si>
    <t>Unit</t>
  </si>
  <si>
    <t>R06TERAC00005</t>
  </si>
  <si>
    <t>CC Coil</t>
  </si>
  <si>
    <t>82T7R2.3P143NC Low Temp.</t>
  </si>
  <si>
    <t>pcs</t>
  </si>
  <si>
    <t>R06TERAC00006</t>
  </si>
  <si>
    <t>82T8R2.3P112NC High Temp.</t>
  </si>
  <si>
    <t>R05EBM0000284</t>
  </si>
  <si>
    <t>Fan</t>
  </si>
  <si>
    <t xml:space="preserve">VBH0560CTTRS / EBM  / 8300100101  </t>
  </si>
  <si>
    <t>R058300100546</t>
  </si>
  <si>
    <t>EBM  / 8300100546</t>
  </si>
  <si>
    <t>R140023AR0003</t>
  </si>
  <si>
    <t>1296x796x185 / Galvanized steel</t>
  </si>
  <si>
    <t>R17CF41000864</t>
  </si>
  <si>
    <t>Air Filter</t>
  </si>
  <si>
    <t>1028x864x48 G4 Panel Filtre</t>
  </si>
  <si>
    <t>R170480525575</t>
  </si>
  <si>
    <t>PANEL FILTRE G4-48-525x725</t>
  </si>
  <si>
    <t>R170480905725</t>
  </si>
  <si>
    <t>PANEL FILTRE G4-48-905x725</t>
  </si>
  <si>
    <t>R210090655150</t>
  </si>
  <si>
    <t>Corner 66x66 Top PA6-Steel Par</t>
  </si>
  <si>
    <t>mt</t>
  </si>
  <si>
    <t>R020090655021</t>
  </si>
  <si>
    <t>Corner profile 66x66 bottom</t>
  </si>
  <si>
    <t>R020090655020</t>
  </si>
  <si>
    <t xml:space="preserve">Corner profile 66x66 </t>
  </si>
  <si>
    <t>R020090653102</t>
  </si>
  <si>
    <t>MULLION 50X42 ZM310AC</t>
  </si>
  <si>
    <t>R020090653103</t>
  </si>
  <si>
    <t>1/2 Mullion profile 25x42 ZM310AC</t>
  </si>
  <si>
    <t>R210090655073</t>
  </si>
  <si>
    <t>Mullion Bracket Top/Vertical</t>
  </si>
  <si>
    <t>R210090655065</t>
  </si>
  <si>
    <t>Mullion Bracket  46,7x39,3x1,5</t>
  </si>
  <si>
    <t>R01B080000001</t>
  </si>
  <si>
    <t xml:space="preserve">0.80 mm Z275 DX51 RAL7035 Boyalı Rulo Sac </t>
  </si>
  <si>
    <t>kg</t>
  </si>
  <si>
    <t>R040090655040</t>
  </si>
  <si>
    <t>Geniox panel profil tape/EPDM</t>
  </si>
  <si>
    <t>R040090655044</t>
  </si>
  <si>
    <t>Door profile w/tape + 1xTPE</t>
  </si>
  <si>
    <t>R01GL30000275</t>
  </si>
  <si>
    <t>3.00 mm Z275 DX51 Plaka Sac</t>
  </si>
  <si>
    <t>R10YN60700002</t>
  </si>
  <si>
    <t>KAYA YÜNÜ 60MM-70 KG/M3</t>
  </si>
  <si>
    <t>m2</t>
  </si>
  <si>
    <t>R01BY27570400</t>
  </si>
  <si>
    <t>1.2 MM 275 GR RAL7035 C.TARAF BOYALI SAC</t>
  </si>
  <si>
    <t>R01PS12000001</t>
  </si>
  <si>
    <t>1.20 mm 316 Paslanmaz Nitto 9205 Pvc Kaplamalı Rulo Sac</t>
  </si>
  <si>
    <t>R210090655151</t>
  </si>
  <si>
    <t>Corner 25x66 Top PA6-Steel Par</t>
  </si>
  <si>
    <t>R210090655153</t>
  </si>
  <si>
    <t>Corner 25x66 bot L PA6-Steel Par</t>
  </si>
  <si>
    <t>R210090655154</t>
  </si>
  <si>
    <t>Corner 25x66 bot R PA6-Steel Par</t>
  </si>
  <si>
    <t>R19KFL8155117</t>
  </si>
  <si>
    <t>8-1551-17 Coverplate Lock Venthandle bluegrey</t>
  </si>
  <si>
    <t>R1200000MKR40</t>
  </si>
  <si>
    <t>40'lık Makaralı Ray (L=940 mm)</t>
  </si>
  <si>
    <t>R21PD10010060</t>
  </si>
  <si>
    <t xml:space="preserve">100x100x60 DELIKLI POLYAMID </t>
  </si>
  <si>
    <t>R21C300TERA01</t>
  </si>
  <si>
    <t xml:space="preserve">4" Flanşlı dirsek </t>
  </si>
  <si>
    <t>R21C300TERA04</t>
  </si>
  <si>
    <t>4" Flanşlı dirsek / Çıkış</t>
  </si>
  <si>
    <t>R21C300TERA02</t>
  </si>
  <si>
    <t>4" Energy valve inlet pipe</t>
  </si>
  <si>
    <t>R21C300TERA03</t>
  </si>
  <si>
    <t>4" Coil inlet pipe</t>
  </si>
  <si>
    <t>R21FLNS400000</t>
  </si>
  <si>
    <t>4" Flange</t>
  </si>
  <si>
    <t>R21KORFLNS004</t>
  </si>
  <si>
    <t>4" Blinde Flange</t>
  </si>
  <si>
    <t>R21KLNGRT0004</t>
  </si>
  <si>
    <t>4" Klingrit flanş contası</t>
  </si>
  <si>
    <t>R16DIN9311680</t>
  </si>
  <si>
    <t>DIN 931 8.8 M16x80 PLAIN</t>
  </si>
  <si>
    <t>R16DIN9348M16</t>
  </si>
  <si>
    <t>DIN 934 8 M16 PLAIN</t>
  </si>
  <si>
    <t>R21SBK0000100</t>
  </si>
  <si>
    <t>4" somunlu boru kelepçesi</t>
  </si>
  <si>
    <t>R19KFLX2315F0</t>
  </si>
  <si>
    <t>KLIMA-FLEX ROD LINK 2651 - 902001</t>
  </si>
  <si>
    <t>R19KFLX081800</t>
  </si>
  <si>
    <t>8mm Krom Kaplı İndüksiyonlu Mil (L=1800)</t>
  </si>
  <si>
    <t>R190090655090</t>
  </si>
  <si>
    <t>L-Handle Non-locking K2-Grip</t>
  </si>
  <si>
    <t>R190090655095</t>
  </si>
  <si>
    <t>K2 Adjustable Roller Cam</t>
  </si>
  <si>
    <t>R190090655092</t>
  </si>
  <si>
    <t>K2 Latc Unit 60 mm</t>
  </si>
  <si>
    <t>R12QV50T45740</t>
  </si>
  <si>
    <t>QVT-CLICK 50-4 gy 45740</t>
  </si>
  <si>
    <t>R12QVT1645726</t>
  </si>
  <si>
    <t>QVT-CLICK 16 gy 45726</t>
  </si>
  <si>
    <t>R1200QTB42540</t>
  </si>
  <si>
    <t>Insert - QTB 42540</t>
  </si>
  <si>
    <t>R120QT1242512</t>
  </si>
  <si>
    <t>Insert - QT 12 42512</t>
  </si>
  <si>
    <t>R1200QT842508</t>
  </si>
  <si>
    <t>Insert - QT 8 42508</t>
  </si>
  <si>
    <t>R210090655080</t>
  </si>
  <si>
    <t>Geniox Hinge Set</t>
  </si>
  <si>
    <t>R21KK15600047</t>
  </si>
  <si>
    <t>Kablo Bağı ve Ok Uçlu Montaj Klips 156-00047</t>
  </si>
  <si>
    <t>R20PPRCDDR025</t>
  </si>
  <si>
    <t>PPRC 25mm Dış Dişli Rekor</t>
  </si>
  <si>
    <t>R21DN20PPRC01</t>
  </si>
  <si>
    <t>DN20 PPRC İç Dişli Oynar Başlı Rakor</t>
  </si>
  <si>
    <t>R20PPRCD25001</t>
  </si>
  <si>
    <t>DN20 PPRC 90 Derece Dirsek</t>
  </si>
  <si>
    <t>R20PPRCB00025</t>
  </si>
  <si>
    <t>PPRC Boru 25 mm</t>
  </si>
  <si>
    <t>R21PN340000A1</t>
  </si>
  <si>
    <t>3/4 "  Pirinç Nipel</t>
  </si>
  <si>
    <t>R2134PDDD2TID</t>
  </si>
  <si>
    <t>3/4 "  Paslanmaz 90 Derece Dirsek 2 Tarafı İç Dişli</t>
  </si>
  <si>
    <t>R2134PIDD2TID</t>
  </si>
  <si>
    <t>3/4 "  Pirinç 90 Derece Dirsek 2 Tarafı İç Dişli</t>
  </si>
  <si>
    <t>R21HK00001926</t>
  </si>
  <si>
    <t>19-26 Hortum kelepçesi(3/4" hortum için)</t>
  </si>
  <si>
    <t>R21SM0034CTSH</t>
  </si>
  <si>
    <t>3/4" Çelik telli spiral hortum</t>
  </si>
  <si>
    <t>R20PHL3400001</t>
  </si>
  <si>
    <t>Pirinç Hortum Lülesi 3/4"</t>
  </si>
  <si>
    <t>R16AKB0M8X100</t>
  </si>
  <si>
    <t>M8X100 AKB Tam Diş 8.8 Kalite Civata</t>
  </si>
  <si>
    <t>R210000238720</t>
  </si>
  <si>
    <t>HYGIENIC 110 w.foil grey 4,5x40 mm-20m/roll</t>
  </si>
  <si>
    <t>R210090655063</t>
  </si>
  <si>
    <t>3D Clamp- Essentra</t>
  </si>
  <si>
    <t>R01DK00000006</t>
  </si>
  <si>
    <t>6.00 mm DKP sac</t>
  </si>
  <si>
    <t>R21FLNS300000</t>
  </si>
  <si>
    <t xml:space="preserve">3" Flanşlı dirsek </t>
  </si>
  <si>
    <t>R21FDC3000000</t>
  </si>
  <si>
    <t>3" Flanşlı dirsek / Çıkış</t>
  </si>
  <si>
    <t>R21EVIP000003</t>
  </si>
  <si>
    <t>3" Energy valve inlet pipe</t>
  </si>
  <si>
    <t>R21CIP0000003</t>
  </si>
  <si>
    <t>3" Coil inlet pipe</t>
  </si>
  <si>
    <t>3" Flange</t>
  </si>
  <si>
    <t>R21KORFLNS003</t>
  </si>
  <si>
    <t>3" Blinde Flange</t>
  </si>
  <si>
    <t>R21KLNGRT0003</t>
  </si>
  <si>
    <t>3" Klingrit flanş contası</t>
  </si>
  <si>
    <t>General Equipment</t>
  </si>
  <si>
    <t>R06TERAC00001</t>
  </si>
  <si>
    <t>80T6R2P80NC Low Temp.</t>
  </si>
  <si>
    <t>R06TERAC00002</t>
  </si>
  <si>
    <t>80T7R2P70NC High Temp.</t>
  </si>
  <si>
    <t>R06TERAC00003</t>
  </si>
  <si>
    <t>84T7R2.3P147NC Low Temp.</t>
  </si>
  <si>
    <t>R06TERAC00004</t>
  </si>
  <si>
    <t>84T8R2.3P112NC High Temp.</t>
  </si>
  <si>
    <t>Electric Panel</t>
  </si>
  <si>
    <t>R170481000727</t>
  </si>
  <si>
    <t>PANEL FILTRE G4-48-1000x727</t>
  </si>
  <si>
    <t>R170481000672</t>
  </si>
  <si>
    <t>PANEL FILTRE G4-48-1000x672</t>
  </si>
  <si>
    <t>PUNTALI KAFES TELI (50mm X 50mm X2. 5mm)(1000x2000mm plakadan)</t>
  </si>
  <si>
    <t>Casing</t>
  </si>
  <si>
    <t>Cabling</t>
  </si>
  <si>
    <t>Piping</t>
  </si>
  <si>
    <t>4" Flanşlı 3N boru</t>
  </si>
  <si>
    <t>4" Flanşlı 2 boru</t>
  </si>
  <si>
    <t>4" Flanşlı F boru</t>
  </si>
  <si>
    <t>3" Flanşlı 3N boru</t>
  </si>
  <si>
    <t>3" Flanşlı 2 boru</t>
  </si>
  <si>
    <t>3" Flanşlı F boru</t>
  </si>
  <si>
    <t>HIZM000000010</t>
  </si>
  <si>
    <t>MONTAJ İŞÇİLİK OVERHEAD</t>
  </si>
  <si>
    <t>HIZM000000041</t>
  </si>
  <si>
    <t>ELEKTRİK ADAM SAAT</t>
  </si>
  <si>
    <t>R31TN17500900</t>
  </si>
  <si>
    <t>DAMPER TUNE AHU 1750(W) X 900(H)</t>
  </si>
  <si>
    <t>R31TN13500900</t>
  </si>
  <si>
    <t>DAMPER TUNE AHU 1350(W) X 900(H)</t>
  </si>
  <si>
    <t>R31TN23500900 </t>
  </si>
  <si>
    <t>Damper</t>
  </si>
  <si>
    <t>DAMPER TUNE AHU 2350(W) X 900(H)</t>
  </si>
  <si>
    <t>Labor</t>
  </si>
  <si>
    <t>3" somunlu boru kelepçesi</t>
  </si>
  <si>
    <t>R121353800000</t>
  </si>
  <si>
    <t>R21OR0M20AP11</t>
  </si>
  <si>
    <t>R21OR0P11ROP9</t>
  </si>
  <si>
    <t>R120700040057</t>
  </si>
  <si>
    <t>R21OR00M12AP9</t>
  </si>
  <si>
    <t>SAIE-M12B-5-0.2U P9 .75 1353800000</t>
  </si>
  <si>
    <t>M20AP11 M20 ERKEK-PG11 DISI PIRINC ADAPTOR ORTAC M20AP11</t>
  </si>
  <si>
    <t>P11RP9 PG-11 ERKEK PG-9 DISI PIRINC REDUKSIYON ORTAC P11RP9</t>
  </si>
  <si>
    <t>Adaptor M12 male / M12 male A-cod. 7000-40057-0000000</t>
  </si>
  <si>
    <t>M12AP9 M12 ERKEK-PG9 DISI PIRINC ADAPTOR ORTAC M12AP9</t>
  </si>
  <si>
    <t>R21OR0M16AP11</t>
  </si>
  <si>
    <t>M16AP11 M16 ERKEK-PG11 DISI PIRINC ADAPTOR ORTAC M16AP11</t>
  </si>
  <si>
    <t>R27QAM2120600</t>
  </si>
  <si>
    <t>R24SAV6100001</t>
  </si>
  <si>
    <t>R27VVF4310016</t>
  </si>
  <si>
    <t>R27VXF4310016</t>
  </si>
  <si>
    <t>R27VVF4380800</t>
  </si>
  <si>
    <t>R27VXF4380800</t>
  </si>
  <si>
    <t>R27FM080FSZ00</t>
  </si>
  <si>
    <t>R27FM100FSZ00</t>
  </si>
  <si>
    <t>R27EX080BAC00</t>
  </si>
  <si>
    <t>EV080F+BAC Energy Valve</t>
  </si>
  <si>
    <t>R27EV100FBAC0</t>
  </si>
  <si>
    <t>EV100F+BAC Energy Valve</t>
  </si>
  <si>
    <t>R27EP080FBAC0</t>
  </si>
  <si>
    <t>EP080F+MOD PICV Valve</t>
  </si>
  <si>
    <t>R270EP100FMOD</t>
  </si>
  <si>
    <t>R24QAE2120011</t>
  </si>
  <si>
    <t>QAE2120.010</t>
  </si>
  <si>
    <t>R27ALTSS00100</t>
  </si>
  <si>
    <t>R24QBM20301U0</t>
  </si>
  <si>
    <t>R24QFA3160001</t>
  </si>
  <si>
    <t>R27DAGCA1211E</t>
  </si>
  <si>
    <t>R27QFM2150MO6</t>
  </si>
  <si>
    <t>R27QBM2700022</t>
  </si>
  <si>
    <t>R27QBM1100022</t>
  </si>
  <si>
    <t>R270302240501</t>
  </si>
  <si>
    <t>QBM9711/109C Air differential pressure sensor, Modbus RTU, IP54, 2x AI (LG-Ni1000, Pt1000, NTC 10k, DC 0...10 V), 2x AO (DC 0...10 V), 2 x 1250 Pa,</t>
  </si>
  <si>
    <t>QBM9777/109C Air differential pressure sensor, Modbus RTU, IP54, 2x AI (LG-Ni1000, Pt1000, NTC 10k, DC 0...10 V), 2x AO (DC 0...10 V), 2 x 7000 Pa, multipack 20 pcs.</t>
  </si>
  <si>
    <t>QFM2150/MO -40…70 ℃,  AC/DC 24 V, Modbus RTU</t>
  </si>
  <si>
    <t>GCA121.1E Damper Motoru</t>
  </si>
  <si>
    <t>QFA3160 Room sensor for humidity (DC 0...10 V) and temperature (DC 0...10 V)</t>
  </si>
  <si>
    <t>QBM2030-1U QBM2030-1U  Diff. pressure sensor</t>
  </si>
  <si>
    <t>ALT-SS100 Protection pocket, 100 mm</t>
  </si>
  <si>
    <t>EP100F+MOD  PICV Valve</t>
  </si>
  <si>
    <t>FM100F-SZ Water Flow Meter DN100</t>
  </si>
  <si>
    <t>FM080F-SZ Water Flow Meter DN80</t>
  </si>
  <si>
    <t>VXF43.80-80 DN80 üç yollu vana gövdesi</t>
  </si>
  <si>
    <t>VVF43.80-80 DN80 iki yollu vana gövdesi</t>
  </si>
  <si>
    <t>VVF43.100-160 DN100 iki yollu vana gövdesi</t>
  </si>
  <si>
    <t>VXF43.100-160  DN100 üç yollu vana gövdesi</t>
  </si>
  <si>
    <t>SAV61.00 Oransal vana motoru</t>
  </si>
  <si>
    <t>QAM2120.600 -50...+80 °C, LG-Ni 1000, Duct temperature sensor 6000 mm</t>
  </si>
  <si>
    <t>FLOR000000 Water leak sensor stripe type</t>
  </si>
  <si>
    <t>FLOS000000 Water leak sensor spote type</t>
  </si>
  <si>
    <t>R12PXC3209510</t>
  </si>
  <si>
    <t>R12PXC3209536</t>
  </si>
  <si>
    <t>R12PMIT150021</t>
  </si>
  <si>
    <t>R12KLM3071630</t>
  </si>
  <si>
    <t>R12KLM3071566</t>
  </si>
  <si>
    <t>R12KLM3071569</t>
  </si>
  <si>
    <t>R12KLM3071572</t>
  </si>
  <si>
    <t>R12KLM3071553</t>
  </si>
  <si>
    <t>R12KLM2062005</t>
  </si>
  <si>
    <t>R123476A042AB</t>
  </si>
  <si>
    <t>R123476M280YA</t>
  </si>
  <si>
    <t>R123476M400YA</t>
  </si>
  <si>
    <t>R12UY3005S002</t>
  </si>
  <si>
    <t>R12UY3005S003</t>
  </si>
  <si>
    <t>R12UY3005S005</t>
  </si>
  <si>
    <t>R12UY3005S012</t>
  </si>
  <si>
    <t>R12UY3005S014</t>
  </si>
  <si>
    <t>R12H05Z100100</t>
  </si>
  <si>
    <t>R12H05Z100111</t>
  </si>
  <si>
    <t>R12H05Z100114</t>
  </si>
  <si>
    <t>R12H05Z100115</t>
  </si>
  <si>
    <t>R12H05Z100116</t>
  </si>
  <si>
    <t>R12H05Z100117</t>
  </si>
  <si>
    <t>R12H05Z150115</t>
  </si>
  <si>
    <t>R12H05Z150118</t>
  </si>
  <si>
    <t>R12KBLIHCH2X0</t>
  </si>
  <si>
    <t>R12PXC3030417</t>
  </si>
  <si>
    <t>R12P302227635</t>
  </si>
  <si>
    <t>R12TBYK30563P</t>
  </si>
  <si>
    <t>R12PXC0811969</t>
  </si>
  <si>
    <t>R27CR2032SP01</t>
  </si>
  <si>
    <t>R12PXC0828734</t>
  </si>
  <si>
    <t>R12P303021335</t>
  </si>
  <si>
    <t>R12BGK1140013</t>
  </si>
  <si>
    <t>R12PXC0828736</t>
  </si>
  <si>
    <t>R12PXC3211757</t>
  </si>
  <si>
    <t>R12PXC3211760</t>
  </si>
  <si>
    <t>R12PXC3211766</t>
  </si>
  <si>
    <t>Phoenix Contact 3209510 PT 2,5 Yay Baskılı 1G1Ç Klemens Gri</t>
  </si>
  <si>
    <t>Phoenix Contact 3209536 PT 2,5-PE Yay Baskılı 1G1Ç Klemens Toprak</t>
  </si>
  <si>
    <t>Molwex  PMIT15 6-6x2,5 Pushin, 6x2,5 mm2 Dağıtıcı Blok</t>
  </si>
  <si>
    <t>TORK APTK-80A10 10 DELİKLİ TOPRAK KLEMENSİ</t>
  </si>
  <si>
    <t>Klemsan 555 2580 KKD 2580 Delikli kablo kanalı Gri (28x2 m)</t>
  </si>
  <si>
    <t>Klemsan 555 4080 KKD 4080 Delikli kablo kanalı Gri (20x2 m)</t>
  </si>
  <si>
    <t>Klemsan 555 6080 KKD 6080 Delikli kablo kanalı Gri (12x2 m)</t>
  </si>
  <si>
    <t>Klemsan 501 101 RT Ray Yükseltici</t>
  </si>
  <si>
    <t>Klemsan 500 604 MR 35 35 x 7,5 MONTAJ RAYI (2mt)</t>
  </si>
  <si>
    <t>CANON TE 3467B 001AA Yazıcı kartuşu siyah renk (100mt) çipli</t>
  </si>
  <si>
    <t>CANON TE 3476M 200YA Sarı çap 2.0mm ISI İLE DARALAN MARKALAMA MAKARONLARI</t>
  </si>
  <si>
    <t>CANON TE 3476M 320YA Sarı çap 3.2mm ISI İLE DARALAN MARKALAMA MAKARONLARI</t>
  </si>
  <si>
    <t>ŞAFAK UY-3007S 1x0.75mm2 MAVİ YÜKSÜK</t>
  </si>
  <si>
    <t>ŞAFAK UY-3010S 1x1mm2 KIRMIZI YÜKSÜK</t>
  </si>
  <si>
    <t>ŞAFAK UY-3025S 1x2,5mm2 GRİ YÜKSÜK</t>
  </si>
  <si>
    <t>ŞAFAK UY-23010S 2x1mm2 KIRMIZI YÜKSÜK</t>
  </si>
  <si>
    <t>ŞAFAK UY-23025S 2x2,5mm2 GRİ YÜKSÜK</t>
  </si>
  <si>
    <t>1x1mm2 H05Z1-K KABLO KAHVERENGİ</t>
  </si>
  <si>
    <t>1x1mm2 H05Z1-K KABLO SİYAH</t>
  </si>
  <si>
    <t>1x1mm2 H05Z1-K KABLO BEYAZ</t>
  </si>
  <si>
    <t>1x1mm2 H05Z1-K KABLO YEŞİL</t>
  </si>
  <si>
    <t>1x1mm2 H05Z1-K KABLO MAVİ</t>
  </si>
  <si>
    <t>1x1mm2 H05Z1-K KABLO SARI YEŞİL</t>
  </si>
  <si>
    <t>1x2,5mm2 H05Z1-K KABLO SİYAH</t>
  </si>
  <si>
    <t>1x2,5mm2 H05Z1-K KABLO SARI YEŞİL</t>
  </si>
  <si>
    <t>LIHCH 2X0,75MM2 KABLO</t>
  </si>
  <si>
    <t>Phoenix Contact 3030417 D-ST 2,5 Nihayet Plakası</t>
  </si>
  <si>
    <t>Phoenix Contact 3022276 CLIPFIX 35-5 Vidasız Durdurucu</t>
  </si>
  <si>
    <t>ONKA 3056 3P Tarak Baralar Için YAN KAPAK</t>
  </si>
  <si>
    <t>Phoenix Contact 811969 KLM 3 Grup Etiketliği</t>
  </si>
  <si>
    <t>VARTA CR2032 PLC ZAMAN SAATI PILI</t>
  </si>
  <si>
    <t>Phoenix Contact 828734 UCT-TM 5 - Klemens Etiketi</t>
  </si>
  <si>
    <t>Phoenix Contact 3030213 FBS 10-5 Geçme Tip Üst Köprü</t>
  </si>
  <si>
    <t>ONKA 1140013 No1 (2.5-10mm2) Tarak Bara Güç Klemensi</t>
  </si>
  <si>
    <t>Phoenix Contact 828736 UCT-TM 6 - Klemens Etiketi</t>
  </si>
  <si>
    <t>Phoenix Contact 3211757 PT 4 Yay Baskılı 1G1Ç Klemens Gri</t>
  </si>
  <si>
    <t>Phoenix Contact 3211760 PT 4 BU Yay Baskılı 1G1Ç Klemens Mavi</t>
  </si>
  <si>
    <t>Phoenix Contact 3211766 PT 4-PE Yay Baskılı 1G1Ç Klemens Toprak</t>
  </si>
  <si>
    <t>R12PXC02A5X20</t>
  </si>
  <si>
    <t>R12PXC3211861</t>
  </si>
  <si>
    <t>R27POL64810S7</t>
  </si>
  <si>
    <t>R27POL6486001</t>
  </si>
  <si>
    <t>R12GW4X11125A</t>
  </si>
  <si>
    <t>R12SBRJ45RS45</t>
  </si>
  <si>
    <t>Siba 179120.2 Sigortalı Klemensler için Minyatur Cam Sigorta - 2 A (5x20)</t>
  </si>
  <si>
    <t>Phoenix Contact 3211861 PT 4-HESI (5X20) SİGORTALI KLEMENS</t>
  </si>
  <si>
    <t>POL648.10/STD</t>
  </si>
  <si>
    <t>POL064.86/STD Terminal Set</t>
  </si>
  <si>
    <t>GW-4x11 4 Kutuplu 1x10mm2 125A Girişli Dağıtıcı Ünite</t>
  </si>
  <si>
    <t>Ethernet Socket BRJ45 Ethernet</t>
  </si>
  <si>
    <t>R120LV429338T</t>
  </si>
  <si>
    <t>R12PXC01A5X20</t>
  </si>
  <si>
    <t>R27MKC0000006</t>
  </si>
  <si>
    <t>R12PA9D346250</t>
  </si>
  <si>
    <t>R12A9F746KA05</t>
  </si>
  <si>
    <t>R12KLM3071603</t>
  </si>
  <si>
    <t>R12A9F746KA07</t>
  </si>
  <si>
    <t>R12EPL2509740</t>
  </si>
  <si>
    <t>SCHNEIDER LV429338T UZATMALI DÖNER KURMA KOL</t>
  </si>
  <si>
    <t>Siba 179120.1 Sigortalı Klemensler için Minyatur Cam Sigorta - 1 A (5x20)</t>
  </si>
  <si>
    <t>ENTES MKC-01 FAZ KORUMA ROLESI</t>
  </si>
  <si>
    <t>Schneider A9D34625 iDPNa 1P+N C Type 30mA 25A KAÇAK AKIMLI SİGORTA</t>
  </si>
  <si>
    <t>Schneider A9F74102 iC60N 1x2A 6KA C OTOMAT</t>
  </si>
  <si>
    <t>DELTA DRL-24V240W1A 24VDC 10A GUC KAYNAGI</t>
  </si>
  <si>
    <t>Schneider A9F74106 iC60N 1x6A 6KA C</t>
  </si>
  <si>
    <t>MOMENTUM EPL25097 LED PANEL LIGHTNING 220V 40CM</t>
  </si>
  <si>
    <t>R12PGV2ME1600</t>
  </si>
  <si>
    <t>R12PGVAE11000</t>
  </si>
  <si>
    <t>Schneider GV2ME16 Motor Koruma Şalteri 9-14A</t>
  </si>
  <si>
    <t>Schneider GVAE11 GV2 ve GV3P MKŞ YARDIMCI KONTAK 1NA + 1NK (ÖN MONTAJ)</t>
  </si>
  <si>
    <t>R27AT93844006</t>
  </si>
  <si>
    <t>R27TK22944016</t>
  </si>
  <si>
    <t>R2740125AATYS</t>
  </si>
  <si>
    <t>R27AT95992020</t>
  </si>
  <si>
    <t>R270007KT1661</t>
  </si>
  <si>
    <t>R27AT100525VA</t>
  </si>
  <si>
    <t>R27AHF50A400V</t>
  </si>
  <si>
    <t>R12PGV3P80300</t>
  </si>
  <si>
    <t>R12A9F746KA08</t>
  </si>
  <si>
    <t>R27CAP24DC54K</t>
  </si>
  <si>
    <t>R12KLM3071554</t>
  </si>
  <si>
    <t>R12KLM3071606</t>
  </si>
  <si>
    <t>R12PHC298ECOR</t>
  </si>
  <si>
    <t>R27PO95500709</t>
  </si>
  <si>
    <t>R27POL0955515</t>
  </si>
  <si>
    <t>R27ESSWAL05LM</t>
  </si>
  <si>
    <t>R27POL8947235</t>
  </si>
  <si>
    <t>4x63 A ATyS p M Haberlesmeli Otomatik Transfer (93844006)</t>
  </si>
  <si>
    <t>4 Kutup için Üst ve Alt Terminal Kapagi (22944016)</t>
  </si>
  <si>
    <t xml:space="preserve">Tarak Tipi Köprüleme Barasi 40-125A ATyS M </t>
  </si>
  <si>
    <t>ATyS D20 (95992020)</t>
  </si>
  <si>
    <t>7KT1661 Enerji Analizörü</t>
  </si>
  <si>
    <t>AL-CE ASB Serisi 125/5 – 15 VA – Baralı Tip – CL:0.5 Akım Trafosu</t>
  </si>
  <si>
    <t>ABB  Aktif Harmonik Filtre – Pqaktif</t>
  </si>
  <si>
    <t>Schneider GV3P80 Motor Koruma Salteri GV3ME 56-80A</t>
  </si>
  <si>
    <t>Schneider A9F74110 iC60N 1x10A 6KA C OTOMAT</t>
  </si>
  <si>
    <t xml:space="preserve">QUINT4-CAP/24DC/5/4KJ - </t>
  </si>
  <si>
    <t>Klemsan 670 300 PAP - UPS Ray Montajlı UPS Priz</t>
  </si>
  <si>
    <t>Phoenix Contact 2987943 REL-MR- 24DC/21-21/MS</t>
  </si>
  <si>
    <t xml:space="preserve">Phoenix Contact 2907518 ECOR-1-BSC3/2X21 Röle tabanı </t>
  </si>
  <si>
    <t>SIEMENS POL955.00/STD</t>
  </si>
  <si>
    <t xml:space="preserve">SIEMENS POL095.55/STD </t>
  </si>
  <si>
    <t>IE-SW-AL05LM-5TX</t>
  </si>
  <si>
    <t>SIEMENS POL895.51/STD HMI</t>
  </si>
  <si>
    <t>standart panel</t>
  </si>
  <si>
    <t>Unit Price</t>
  </si>
  <si>
    <t>Total Price</t>
  </si>
  <si>
    <t>POL0H8.50/STD Ekran Tutucu</t>
  </si>
  <si>
    <t>Cat6 Patch Kablo 2 Metre</t>
  </si>
  <si>
    <t>PCS</t>
  </si>
  <si>
    <t>R27FLS9785266</t>
  </si>
  <si>
    <t>Nemlendirici</t>
  </si>
  <si>
    <t>R12A9F7442000</t>
  </si>
  <si>
    <t>Schneider A9F74420 iK60N 4x20A 10KA C OTOMAT</t>
  </si>
  <si>
    <t>Schneider ComPacT Şalter NSX100F 36kA AC 4P4D 63A</t>
  </si>
  <si>
    <t>Schneider ComPacT Şalter NSX100F 36kA AC 4P4D 80A TMD</t>
  </si>
  <si>
    <t>PUNTALI KAFES TELI (50mm X 50mm X2. 5mm)(1000x3000mm plakadan)</t>
  </si>
  <si>
    <t>BUHARLI NEMLENDIRICI EL 15KG/H</t>
  </si>
  <si>
    <t>Optional Control Equipment</t>
  </si>
  <si>
    <t>TOTAL</t>
  </si>
  <si>
    <t>DN80 Flange Shut-Off Valve / PN16 /  Ayvaz (1433)</t>
  </si>
  <si>
    <t>DN100 Flange Shut-Off Valve / PN16 /  Ayvaz (1433)</t>
  </si>
  <si>
    <t>CAREL SFFS000000 Smoke Detector</t>
  </si>
  <si>
    <t>4x80 A ATyS p M Haberlesmeli Otomatik Transfer (93844008)</t>
  </si>
  <si>
    <t>17: 170 Kw; 23: 230 kW; 30: 300 Kw</t>
  </si>
  <si>
    <t>R13BN30150000</t>
  </si>
  <si>
    <t>R21KT50502520</t>
  </si>
  <si>
    <t>R21KT50502530</t>
  </si>
  <si>
    <t>R21FB43N00000</t>
  </si>
  <si>
    <t>R21SBK0000300</t>
  </si>
  <si>
    <t>R12NSX63A4P4D</t>
  </si>
  <si>
    <t>R12NSX80A4P4D</t>
  </si>
  <si>
    <t>R27AT93844008</t>
  </si>
  <si>
    <t>R27POL0H85000</t>
  </si>
  <si>
    <t>R27DN80161433</t>
  </si>
  <si>
    <t>R27DN10161433</t>
  </si>
  <si>
    <t>R27SDSFFS0000</t>
  </si>
  <si>
    <t>R12NCAT600002</t>
  </si>
  <si>
    <t>Project Name:</t>
  </si>
  <si>
    <t>Enter your data</t>
  </si>
  <si>
    <t>1.4.0.0</t>
  </si>
  <si>
    <t>Unit:</t>
  </si>
  <si>
    <t>Geniox Tera C Macro CRAH</t>
  </si>
  <si>
    <t>Model:</t>
  </si>
  <si>
    <t>TERA 170</t>
  </si>
  <si>
    <t>Unit summary</t>
  </si>
  <si>
    <t>Version 1.1.0.0</t>
  </si>
  <si>
    <t>Configuration</t>
  </si>
  <si>
    <t>TOP RETURN BOTTOM SUPPLY</t>
  </si>
  <si>
    <t>Cooling capacity</t>
  </si>
  <si>
    <t>Airflow</t>
  </si>
  <si>
    <t>Supply/Return air temperature</t>
  </si>
  <si>
    <t>14.2/44</t>
  </si>
  <si>
    <t>Power supply</t>
  </si>
  <si>
    <t>400V-3PH-N-PE-50Hz</t>
  </si>
  <si>
    <t>Dimensions (W x L x H)</t>
  </si>
  <si>
    <t>4082 x 1082 x 3200 mm</t>
  </si>
  <si>
    <t>Casing/Frame Details</t>
  </si>
  <si>
    <t>Panel Thickness</t>
  </si>
  <si>
    <t>60 mm</t>
  </si>
  <si>
    <t>Panel Insulation Type / Density</t>
  </si>
  <si>
    <t>Rock wool 60kg/m3</t>
  </si>
  <si>
    <t>Panel External Sheet</t>
  </si>
  <si>
    <t>Z275 Steel + Polyster Painted (0,8mm)</t>
  </si>
  <si>
    <t>Panel Internal Sheet</t>
  </si>
  <si>
    <t>Frame Type</t>
  </si>
  <si>
    <t>Z275 + Epoxy Primer Polyester Painted Steel</t>
  </si>
  <si>
    <t>Water Cooling Coil Details</t>
  </si>
  <si>
    <t>Fluid</t>
  </si>
  <si>
    <t>WATER</t>
  </si>
  <si>
    <t>%</t>
  </si>
  <si>
    <t>Return Air Temparature</t>
  </si>
  <si>
    <t>°C</t>
  </si>
  <si>
    <t>Return Air Humidity</t>
  </si>
  <si>
    <t>Supply Air Temparature</t>
  </si>
  <si>
    <t>Supply Air Humidity</t>
  </si>
  <si>
    <t>Coil Pressure Drop (Air side)</t>
  </si>
  <si>
    <t>Pa</t>
  </si>
  <si>
    <t>Coil Cooling Capacity</t>
  </si>
  <si>
    <t>kW</t>
  </si>
  <si>
    <t>Fluid Inlet Temparature.</t>
  </si>
  <si>
    <t>Fluid Outlet Temparature</t>
  </si>
  <si>
    <t>Water Flow Rate</t>
  </si>
  <si>
    <t>m³/h</t>
  </si>
  <si>
    <t>Coil Pressure Drop (Fluid side)</t>
  </si>
  <si>
    <t>kPa</t>
  </si>
  <si>
    <t>EER (Energy Efficiency Ratio)</t>
  </si>
  <si>
    <t>Connections (Inlet-Outlet)</t>
  </si>
  <si>
    <t>DN 80</t>
  </si>
  <si>
    <t>Air density</t>
  </si>
  <si>
    <t>kg/m³</t>
  </si>
  <si>
    <t>Supply Fan Details</t>
  </si>
  <si>
    <t>Air Flow Rate</t>
  </si>
  <si>
    <t>External Pressure</t>
  </si>
  <si>
    <t>Total Static Pressure</t>
  </si>
  <si>
    <t>Fan Speed</t>
  </si>
  <si>
    <t>rpm</t>
  </si>
  <si>
    <t>Maximum Fan Speed</t>
  </si>
  <si>
    <t>Total Efficiency</t>
  </si>
  <si>
    <t>Fan Type</t>
  </si>
  <si>
    <t>EC Plug Fan</t>
  </si>
  <si>
    <t>Voltage</t>
  </si>
  <si>
    <t>3 Ph 400</t>
  </si>
  <si>
    <t>V</t>
  </si>
  <si>
    <t>Maximum Current Draw</t>
  </si>
  <si>
    <t>Rated Power Consumption</t>
  </si>
  <si>
    <t>Return Filter Details</t>
  </si>
  <si>
    <t>Pressure Drop</t>
  </si>
  <si>
    <t>Filter Class</t>
  </si>
  <si>
    <t>G4</t>
  </si>
  <si>
    <t>Filter Dimensions</t>
  </si>
  <si>
    <t>1000x864x48</t>
  </si>
  <si>
    <t>mm</t>
  </si>
  <si>
    <t>Quantity</t>
  </si>
  <si>
    <t>Damper Details</t>
  </si>
  <si>
    <t>Air Tightness Class</t>
  </si>
  <si>
    <t>C4</t>
  </si>
  <si>
    <t>Damper Dimensions</t>
  </si>
  <si>
    <t>2350 x 900</t>
  </si>
  <si>
    <t>1</t>
  </si>
  <si>
    <t>Control and Electrical Configuration</t>
  </si>
  <si>
    <t>Temperature &amp; Humidity Sensor</t>
  </si>
  <si>
    <t>Leak Detection</t>
  </si>
  <si>
    <t>Water Valve</t>
  </si>
  <si>
    <t>Power Option &amp; ATS</t>
  </si>
  <si>
    <t>Power Measurement</t>
  </si>
  <si>
    <t>User Terminal</t>
  </si>
  <si>
    <t>Water Shut off valve</t>
  </si>
  <si>
    <t>R27POL8T57070</t>
  </si>
  <si>
    <t>SIEMENS POL8T5.70/STD HARİCİ TAŞINABİLİR DOKUNMATİK EKRAN</t>
  </si>
  <si>
    <t>NEMUS - A012.05.04.141.0000 
M12 MALE 5 PIN /2xM12 FEMALE T COUPLER - (141) DISTRIBUTION</t>
  </si>
  <si>
    <t>NEMUS - L012.04.02.121.425.0050
L CODE 4 pin erkek ucu açık kablo 4x2,5 mm^2 - 5 metre</t>
  </si>
  <si>
    <t>NEMUS - L012.04.02.121.425.0100
L CODE 4 pin erkek ucu açık kablo 4x2,5 mm^2 - 10 metre</t>
  </si>
  <si>
    <t>NEMUS - L012.04.02.121.425.0075
L CODE 4 pin erkek ucu açık kablo 4x2,5 mm^2 - 7,5 metre</t>
  </si>
  <si>
    <t>NEMUS - A012.01.01.121.0001
M12 KONNEKTÖR DİŞİ TOZ KAPAĞI KAYIŞLI</t>
  </si>
  <si>
    <t>NEMUS - A012.05.01.131.316.0015 
M12 FEMALE 0° / MALE 0° PUR 5x0,25 GREY / A-CODE 1.5 M</t>
  </si>
  <si>
    <t>NEMUS - A012.05.01.131.316.0030 
M12 FEMALE 0° / MALE 0° PUR 5x0,25 GREY / A-CODE 3.0 M</t>
  </si>
  <si>
    <t>NEMUS - A012.05.01.131.316.0050 
M12 FEMALE 0° / MALE 0° PUR 5x0,25 GREY / A-CODE 5.0 M</t>
  </si>
  <si>
    <t>NEMUS - A012.05.01.131.316.0100 
M12 FEMALE 0° / MALE 0° PUR 5x0,25 GREY / A-CODE 10.0 M</t>
  </si>
  <si>
    <t>NEMUS - A012.05.02.111.001.0000 
M12 FEMALE 5 PIN 0° FIELD ATTACHABLE / A-CODE</t>
  </si>
  <si>
    <t>NEMUS - L012.04.02.111.425.00015
M12 DİŞİ 4 PIN 0° PANO TİPİ 4x2.5 0.15M</t>
  </si>
  <si>
    <t>M20RM16 M20 ERKEK-M16 DİŞİ PİRİNÇ ADAPTÖR ORTAÇ M20RM16</t>
  </si>
  <si>
    <t>R12NL01204015</t>
  </si>
  <si>
    <t>R12NL01204075</t>
  </si>
  <si>
    <t>R12NL01204010</t>
  </si>
  <si>
    <t>R12NL01204005</t>
  </si>
  <si>
    <t>R21M20RM16000</t>
  </si>
  <si>
    <t>R12NA012M1205</t>
  </si>
  <si>
    <t>R12NA01205M12</t>
  </si>
  <si>
    <t>R12NA01205010</t>
  </si>
  <si>
    <t>R12NA01205005</t>
  </si>
  <si>
    <t>R12NA01205003</t>
  </si>
  <si>
    <t>R12NA01205015</t>
  </si>
  <si>
    <t>R12NA01201011</t>
  </si>
  <si>
    <t>HIZM000000032</t>
  </si>
  <si>
    <t>PANO MONTAJ İŞÇİLİK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</si>
</sst>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€-2]\ * #,##0.00_-;\-[$€-2]\ * #,##0.00_-;_-[$€-2]\ * &quot;-&quot;??_-;_-@_-"/>
    <numFmt numFmtId="165" formatCode="#,##0.00\ [$€-1]"/>
    <numFmt numFmtId="166" formatCode="0.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0"/>
      <color theme="1"/>
      <name val="Daxline Offc Pro"/>
      <family val="2"/>
    </font>
    <font>
      <sz val="10"/>
      <color theme="1"/>
      <name val="Daxline Offc Pro"/>
      <family val="2"/>
    </font>
    <font>
      <sz val="8"/>
      <color theme="1"/>
      <name val="Daxline Offc Pro"/>
      <family val="2"/>
    </font>
    <font>
      <b/>
      <sz val="10"/>
      <color rgb="FFFFFFFF"/>
      <name val="Daxline Offc Pro"/>
      <family val="2"/>
    </font>
    <font>
      <sz val="9"/>
      <color theme="1"/>
      <name val="Daxline Offc Pro"/>
      <family val="2"/>
    </font>
    <font>
      <sz val="9"/>
      <name val="Daxline Offc Pro"/>
      <family val="2"/>
    </font>
    <font>
      <i/>
      <sz val="10"/>
      <color theme="1"/>
      <name val="Daxline Offc Pro"/>
      <family val="2"/>
    </font>
    <font>
      <sz val="10"/>
      <name val="Daxline Offc Pro"/>
      <family val="2"/>
    </font>
    <font>
      <sz val="7.5"/>
      <color theme="1"/>
      <name val="Arial"/>
      <family val="2"/>
      <charset val="162"/>
    </font>
    <font>
      <sz val="7.5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33F61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6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wrapText="1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2" borderId="13" xfId="0" applyFont="1" applyFill="1" applyBorder="1"/>
    <xf numFmtId="0" fontId="3" fillId="2" borderId="14" xfId="0" applyFont="1" applyFill="1" applyBorder="1"/>
    <xf numFmtId="0" fontId="3" fillId="2" borderId="14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right"/>
    </xf>
    <xf numFmtId="0" fontId="5" fillId="2" borderId="15" xfId="0" applyFont="1" applyFill="1" applyBorder="1" applyAlignment="1">
      <alignment horizontal="center" vertical="center"/>
    </xf>
    <xf numFmtId="0" fontId="4" fillId="2" borderId="14" xfId="0" applyFont="1" applyFill="1" applyBorder="1"/>
    <xf numFmtId="0" fontId="2" fillId="2" borderId="13" xfId="0" applyFont="1" applyFill="1" applyBorder="1" applyAlignment="1">
      <alignment horizontal="left"/>
    </xf>
    <xf numFmtId="0" fontId="2" fillId="2" borderId="14" xfId="0" applyFont="1" applyFill="1" applyBorder="1"/>
    <xf numFmtId="0" fontId="2" fillId="2" borderId="14" xfId="0" applyFont="1" applyFill="1" applyBorder="1" applyAlignment="1">
      <alignment wrapText="1"/>
    </xf>
    <xf numFmtId="0" fontId="0" fillId="0" borderId="0" xfId="0" applyAlignment="1">
      <alignment horizontal="center" vertical="center" wrapText="1"/>
    </xf>
    <xf numFmtId="164" fontId="6" fillId="2" borderId="15" xfId="0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2" fontId="1" fillId="0" borderId="18" xfId="0" applyNumberFormat="1" applyFont="1" applyBorder="1" applyAlignment="1">
      <alignment horizontal="center" vertical="center"/>
    </xf>
    <xf numFmtId="0" fontId="1" fillId="0" borderId="18" xfId="0" applyFont="1" applyBorder="1"/>
    <xf numFmtId="0" fontId="7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 wrapText="1"/>
    </xf>
    <xf numFmtId="0" fontId="0" fillId="0" borderId="18" xfId="0" applyBorder="1" applyAlignment="1">
      <alignment wrapText="1"/>
    </xf>
    <xf numFmtId="0" fontId="8" fillId="0" borderId="18" xfId="0" applyFont="1" applyBorder="1" applyAlignment="1">
      <alignment vertical="center" wrapText="1"/>
    </xf>
    <xf numFmtId="165" fontId="0" fillId="0" borderId="18" xfId="0" applyNumberFormat="1" applyBorder="1"/>
    <xf numFmtId="0" fontId="10" fillId="0" borderId="0" xfId="0" applyFont="1" applyProtection="1">
      <protection locked="0"/>
    </xf>
    <xf numFmtId="0" fontId="11" fillId="0" borderId="0" xfId="0" applyFont="1" applyProtection="1">
      <protection locked="0"/>
    </xf>
    <xf numFmtId="14" fontId="12" fillId="0" borderId="0" xfId="0" applyNumberFormat="1" applyFont="1" applyProtection="1">
      <protection locked="0"/>
    </xf>
    <xf numFmtId="0" fontId="12" fillId="0" borderId="0" xfId="0" applyFont="1" applyAlignment="1" applyProtection="1">
      <alignment horizontal="center"/>
      <protection locked="0"/>
    </xf>
    <xf numFmtId="0" fontId="13" fillId="3" borderId="0" xfId="0" applyFont="1" applyFill="1" applyAlignment="1" applyProtection="1">
      <alignment vertical="center" wrapText="1"/>
      <protection locked="0"/>
    </xf>
    <xf numFmtId="0" fontId="12" fillId="0" borderId="0" xfId="0" applyFont="1" applyProtection="1"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11" fillId="4" borderId="0" xfId="0" applyFont="1" applyFill="1" applyAlignment="1" applyProtection="1">
      <alignment vertical="center" wrapText="1"/>
      <protection locked="0"/>
    </xf>
    <xf numFmtId="0" fontId="11" fillId="4" borderId="0" xfId="0" applyFont="1" applyFill="1" applyAlignment="1" applyProtection="1">
      <alignment vertical="center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0" fillId="0" borderId="0" xfId="0" applyAlignment="1">
      <alignment wrapText="1"/>
    </xf>
    <xf numFmtId="0" fontId="14" fillId="2" borderId="0" xfId="0" applyFont="1" applyFill="1" applyAlignment="1" applyProtection="1">
      <alignment vertical="center"/>
      <protection locked="0"/>
    </xf>
    <xf numFmtId="0" fontId="14" fillId="2" borderId="0" xfId="0" applyFont="1" applyFill="1" applyAlignment="1" applyProtection="1">
      <alignment horizontal="center" vertical="center" wrapText="1"/>
      <protection locked="0"/>
    </xf>
    <xf numFmtId="0" fontId="14" fillId="2" borderId="0" xfId="0" applyFont="1" applyFill="1" applyAlignment="1" applyProtection="1">
      <alignment horizontal="left" vertical="center" wrapText="1"/>
      <protection locked="0"/>
    </xf>
    <xf numFmtId="0" fontId="14" fillId="4" borderId="0" xfId="0" applyFont="1" applyFill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4" borderId="0" xfId="0" applyFont="1" applyFill="1" applyAlignment="1" applyProtection="1">
      <alignment horizontal="right" vertical="center" wrapText="1"/>
      <protection locked="0"/>
    </xf>
    <xf numFmtId="0" fontId="14" fillId="0" borderId="0" xfId="0" applyFont="1" applyAlignment="1" applyProtection="1">
      <alignment horizontal="right" vertical="center" wrapText="1"/>
      <protection locked="0"/>
    </xf>
    <xf numFmtId="0" fontId="16" fillId="4" borderId="0" xfId="0" applyFont="1" applyFill="1" applyAlignment="1" applyProtection="1">
      <alignment vertical="center" wrapText="1"/>
      <protection locked="0"/>
    </xf>
    <xf numFmtId="0" fontId="14" fillId="4" borderId="0" xfId="0" applyFont="1" applyFill="1" applyAlignment="1" applyProtection="1">
      <alignment vertical="center" wrapText="1"/>
      <protection locked="0"/>
    </xf>
    <xf numFmtId="0" fontId="14" fillId="0" borderId="0" xfId="0" applyFont="1" applyAlignment="1" applyProtection="1">
      <alignment vertical="center" wrapText="1"/>
      <protection locked="0"/>
    </xf>
    <xf numFmtId="0" fontId="11" fillId="0" borderId="0" xfId="0" applyFont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0" fontId="21" fillId="0" borderId="18" xfId="0" applyFont="1" applyBorder="1"/>
    <xf numFmtId="0" fontId="21" fillId="0" borderId="18" xfId="0" applyFont="1" applyBorder="1" applyAlignment="1">
      <alignment wrapText="1"/>
    </xf>
    <xf numFmtId="0" fontId="3" fillId="0" borderId="18" xfId="0" applyFont="1" applyBorder="1"/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65" fontId="9" fillId="0" borderId="22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14" fillId="0" borderId="0" xfId="0" applyFont="1" applyAlignment="1" applyProtection="1">
      <alignment horizontal="left" vertical="top" wrapText="1"/>
      <protection locked="0"/>
    </xf>
    <xf numFmtId="0" fontId="15" fillId="4" borderId="0" xfId="0" applyFont="1" applyFill="1" applyAlignment="1" applyProtection="1">
      <alignment horizontal="left" vertical="top" wrapText="1"/>
      <protection locked="0"/>
    </xf>
    <xf numFmtId="0" fontId="11" fillId="4" borderId="0" xfId="0" applyFont="1" applyFill="1" applyAlignment="1" applyProtection="1">
      <alignment horizontal="left" vertical="center" wrapText="1"/>
      <protection locked="0"/>
    </xf>
    <xf numFmtId="0" fontId="14" fillId="4" borderId="0" xfId="0" applyFont="1" applyFill="1" applyAlignment="1" applyProtection="1">
      <alignment horizontal="left" vertical="top" wrapText="1"/>
      <protection locked="0"/>
    </xf>
    <xf numFmtId="0" fontId="13" fillId="3" borderId="0" xfId="0" applyFont="1" applyFill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2" fontId="15" fillId="4" borderId="0" xfId="0" applyNumberFormat="1" applyFont="1" applyFill="1" applyAlignment="1" applyProtection="1">
      <alignment horizontal="left" vertical="top" wrapText="1"/>
      <protection locked="0"/>
    </xf>
    <xf numFmtId="0" fontId="14" fillId="4" borderId="0" xfId="0" applyFont="1" applyFill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1" fillId="2" borderId="0" xfId="0" applyFont="1" applyFill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4" borderId="0" xfId="0" applyFont="1" applyFill="1" applyAlignment="1" applyProtection="1">
      <alignment horizontal="center" vertical="center" wrapText="1"/>
      <protection locked="0"/>
    </xf>
    <xf numFmtId="2" fontId="14" fillId="4" borderId="0" xfId="0" applyNumberFormat="1" applyFont="1" applyFill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hidden="1"/>
    </xf>
    <xf numFmtId="0" fontId="14" fillId="4" borderId="0" xfId="0" applyFont="1" applyFill="1" applyAlignment="1" applyProtection="1">
      <alignment horizontal="center" vertical="center" wrapText="1"/>
      <protection hidden="1"/>
    </xf>
    <xf numFmtId="0" fontId="14" fillId="4" borderId="0" xfId="0" applyFont="1" applyFill="1" applyAlignment="1" applyProtection="1">
      <alignment horizontal="center" vertical="center"/>
      <protection hidden="1"/>
    </xf>
    <xf numFmtId="166" fontId="14" fillId="0" borderId="0" xfId="0" applyNumberFormat="1" applyFont="1" applyAlignment="1" applyProtection="1">
      <alignment horizontal="center" vertical="center" wrapText="1"/>
      <protection hidden="1"/>
    </xf>
    <xf numFmtId="49" fontId="14" fillId="4" borderId="0" xfId="0" applyNumberFormat="1" applyFont="1" applyFill="1" applyAlignment="1" applyProtection="1">
      <alignment horizontal="center"/>
      <protection locked="0"/>
    </xf>
    <xf numFmtId="0" fontId="17" fillId="0" borderId="0" xfId="0" applyFont="1" applyAlignment="1" applyProtection="1">
      <alignment horizontal="left" vertical="center" wrapText="1"/>
      <protection locked="0"/>
    </xf>
    <xf numFmtId="0" fontId="11" fillId="4" borderId="0" xfId="0" applyFont="1" applyFill="1" applyAlignment="1" applyProtection="1">
      <alignment horizontal="left" vertical="center"/>
      <protection locked="0"/>
    </xf>
    <xf numFmtId="0" fontId="17" fillId="4" borderId="0" xfId="0" applyFont="1" applyFill="1" applyAlignment="1" applyProtection="1">
      <alignment horizontal="left" vertical="center" wrapText="1"/>
      <protection locked="0"/>
    </xf>
    <xf numFmtId="0" fontId="2" fillId="2" borderId="16" xfId="0" applyFont="1" applyFill="1" applyBorder="1" applyAlignment="1">
      <alignment horizontal="left" wrapText="1"/>
    </xf>
    <xf numFmtId="0" fontId="2" fillId="2" borderId="12" xfId="0" applyFont="1" applyFill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93554</xdr:rowOff>
    </xdr:to>
    <xdr:sp macro="" textlink="">
      <xdr:nvSpPr>
        <xdr:cNvPr id="2" name="AutoShape 1" descr="data:image/png;base64,iVBORw0KGgoAAAANSUhEUgAAAiQAAAGbCAYAAAD0h4tNAAAAAXNSR0IArs4c6QAAAARnQU1BAACxjwv8YQUAAAAJcEhZcwAADsMAAA7DAcdvqGQAANh7SURBVHhe7d0JvHXV/PjxbUpFmhSVogxJmStTkQqZG4jmQhEiChESEUKSIWMqY2UoUaF/ZMpYhsicsUyZZ373v9/r7u9jPec59z73Pvfce849z/fzeu17z15nnb3XXuu71vqu7/quta8z0dIkSZIkSZIMket2/5MkSZIkSYZGKiRJkiRJkgydVEiSJEmSJBk6qZAkSZIkSTJ0UiFJkiRJkmTopEKSJEmSJMnQSYUkSZIkSZKhkwpJkiRJkiRDJxWSJEmSJEmGTiokSZIkSZIMnVRIkiRJkiQZOqmQJEmSJEkydFIhSZIkSZJk6KRCkiRJkiTJ0EmFJEmSJEmSoZMKSZIkSZIkQycVkiRJkiRJhk4qJEmSJEmSDJ3rTLR0n1eI888/vznllFO6s6b55z//2Vx77bXNBhts0IUMh/vf//7N4Ycf3lx11VXNox/96OYnP/lJ41E32WSTZt11123+7//+r/n3v//drL322iXNyWhyoxvdqPnLX/7SXOc61+lC/scf/vCH5oILLmjWXHPNLmT8eNCDHlTy4O9//3sX8j+E/+lPf2qud73rdSFJkiRz57///W9z4xvfuPnrX//arLbaauXzz3/+8/Kd86233rp5yUteUs4HyZwVEh3+17/+9e6saT70oQ81p512WvnfrxNZKCged73rXZuTTz65efe7393ssssuzXWve91m0003bW52s5uVz7/85S+b5z73uc3b3va2okRRToaZ5mQSleHPf/5zs9ZaazWPfOQjmzPPPLO54Q1v2H37Pw4++ODmhS98YXPIIYd0IePF73//+2azzTYrCv9NbnKTLvR/HHrooc1znvOc5qY3vWmzyiqrlCNJkmRF+de//lWO3/zmN80JJ5xQ2h595aqrrlraZRjMH3fccc1ZZ51VBvcDhUIySA444AAKzsR3vvOdLmS4tMrGxOMe97jubGm++93vTtz2tredOOmkk0qajz766O6bZJg89rGPLeVxzjnnTLQVYeJvf/tb983S+O7www/vzsYP8jldFd1yyy0nzjvvvInrX//6E7e85S270CRJkhVDO6I9+ehHPzqx1VZbdaHLcvOb33yiHdB3Z4Nj4D4kn/nMZ5r2gZovfvGLXcjo03Z45T/NMBk+MT1BE58O37OkjCtGJcubjvnPf/5TpiJDhpMkSVYE7Yi2V5syLOY8ZVPjYczn88046KCDmne84x3dN8PjCU94QnPppZc23/rWt7qQpvn1r39dfEpMNx1xxBHN+9///vJ54403zvn4EYBi+Ktf/aqUxw477NBceOGFZcrmdre73VImQp+f/vSnl2mbccQ04m1uc5vyP+Az8oMf/KD4Pe2zzz7Ni1/84maNNdYo87r+J3MjmsOcuh0+yiLLYWExwNOP+69dfec731nalm222aaLMcnNb37z5rLLLhu8ryiFZFB89rOfnbjJTW5SzMxtQ9qFDpe99957ou3IurNJtthii5LGPBbXseOOO3YlOEmrkEwcc8wx3dn48Zvf/KY8Y83zn//8vnmTRx555DFfx+tf//quBZpknXXWmWgH8d3Z4BioheRVr3pVc/TRR5cR7g1ucIMymmN2Hib3ve99m9/+9rfNt7/97S7kf6Ofu9zlLuW/LAjH3Dvc4Q5DcQ7kMPTNb36zfL7zne88lJHBP/7xj+bKK68snyNvFpo//vGPzY9//ONiqbrjHe/YhTbN5ZdfXpyOa2sBZ86HPexhRYsfR77whS8022233RJnMhx44IHFaXyrrbYqU6P4/ve/X7zh11tvvWajjTYqYaPAVGU5CnzjG98oU363ve1ty2olkLGgln9tgzZi8803L6PFUcYzeTbc6U53Kg6Jo8xUbU6/siDjZF3bqI0cdfQ7VqboT/Qro87Pfvaz5ne/+11ZUcMyC7MdV1xxRbPffvs1p59+egmDMuCeoX0aKBSSQbHLLrss0ahYSj73uc913wyP+9znPiUtxx133MTJJ59c/reVtBxBW4kn2gwu6Z4PR52Z0DbeS/KuVei60IXlW9/6Vrm/vBgWH/zgB0sa2k6iC5lEWFtRSvnF0XZ0E/vss08XY/xoK3x57vqZ7373u5ewVjHrYk1M3PWudy1hRxxxRBcyGnzoQx/qW5ajwA1veMOStksvvbQLmZhoFdwS5qjh5CdM/Rh12k57yTO0nX0XOrq0ikdJa90eI56hHYR0IRMTn/70p0tYO9jtQkabV7/61SW97SChCxltYkHK9ttv34VMTFxzzTUlTLtTt0PCLr744i7W4Bio+vzlL3+5+zS5HwnfjWHDl4XvAac/2ng/5z/anjmzNvOHtn+KZZ20UxYA1qVhsOWWWzZXX311yYthsdtuuzU//elPl7KEBMpJ+cXB+ibN4worCL+Q+plra0nw1a9+tfnhD39YLJSjxK677lpGXf3Kctiw3kjbPe5xjy5kalh6jXQXg6ytvvrqJb+1Jf2Wyo8aLB22X5hJm8ParRyUx2Lgmc98ZrEQ8k9cDLA0a0daxa8LWZq6HUJYUQbJwBQSTog2sAooJBdddFF3NlyYLlXUVrNbsh8J0+bLX/7y0jCB2db+JMNknXXWKdMSw4SzUpiwhwVn1pg201gdf/zx5bMGVif9+te/vrnVrW5VFBLlOK60A4Yy3aFjf9Ob3lSe1fPjpJNOWjLNSFGzX8kocotb3GIk90chS9IWvOUtb1lqg0Qyx+QO0zSjNBW2PLQh2pLFgkGg9hmUKe1yYPq/3nhTOQzbDWA2aKdianUxoB3RnoDT6hvf+Mby2bSZ6Rvt0O677176UO3TwCl2kgFgz4hwaI2DCXTYMD+1mTmxww47lDS94Q1vWGKCdRx11FFdzGQUUX61PB122GHl8yGHHDKx5pprTuy1115dzPGDSdSztg1y+X/Pe95zYt99912SH+utt14XM5kLX/rSl5bkaX084QlP6GIkC0XsQdR7jMq+VisTa6yxxpL8f/zjHz9xt7vdrXx+97vfXf5/4hOf6GIOjoFZSD7/+c8XU5qpB04xlv8aYVhiO0w4Ezks7T377LObJz7xid03TZkaWQzORisztk6vp7Be8YpXlLI0PWHkMWyL0nxiNGgkYifaD37wg80HPvCB7ptJ2b33ve/dnSVzwZSuEbq8DuTvYnCcHDd23nnnpeq70ToLFQf2ZGGx5UJdFueee27Zgb0dBJbz9ddfv/wfJANbZWOFCB+MVpMtZh5btmPbbbcd6rtG3v72txdlyf9AJjN/95uPT0YTDZNGyZbGgfNnPOMZZWXXOBJbx/sf8HZ/17veVUzb46yMDQOrlGKaZkDNYrKCxLQBGR9FH6SVBa4YpvEf//jHl1esBMrHXl5e0TJIBmYhsazvAQ94QHESo4D47BimMpIkSZIkyeJgoKtskiRJkiRJVoRUSJIkSZIkGTqpkCRJkiRJMnRSIUmSJEmSZOikQpIkSZIkydBJhSRJkiRJkqGTCkmSLEK8BuFzn/tcd5bMlVe+8pXlXVfBUUcd1fziF7/ozpKFwr4X8j6wdbyt5HNfmIXH23zjtR0LxdgrJDZziddxJ8m48JrXvKa84yaZO1/60pea5zznOUu9i8uOwMccc0x3liwUT3va00reB3/961+b5z73uc23v/3tLiRZKB760IeWd2YtJGOvkHhD5O1vf/vuLEnGA9tp23gwmTtbbLFFs9Zaay21dbz8ncmbgJPB8vCHP7zkfaBMbK654YYbdiHJQvGQhzxkqbJYCMZeIfGeilF822iSzAXTCe95z3u6s2QurLHGGmV7/voNuV6xfvDBB3dnyUKx7777Lnm9PSgjf/jDH/I1CUPgfe97X/PjH/+4O1sYxl4hIcw5/5iMM69//euL4n3hhRd2IaPB1VdfXV5eeeihh3Yho8MTnvCEZsstt1zq3UhToZP0agwvD10M3P/+92+222677my0+fvf/15ebf+YxzymC5kabblyOOCAA7qQ0cb73Vjnn/e853Uho835559f2pE3velNXcjCM/YKybvf/e7m8ssv786SZPw44YQTmu9///vlLcijhDeDetnmW9/61i5kdHjHO95R/BL4jywPbci3vvWtRdGOsPR86lOfKg7Pf/zjH7vQ0eXTn/508/Wvf70588wzu5Cp0WEqh9NPP70LGW1OO+205rvf/W552exi4HWve11pR4aaXm/7HSSXXnrpxLbbbtudDZ9W25t43OMe151Ncv3rX3/iute9bneWLAaI6k1vetPubJJ111134rjjjuvOxo9rr712Yq211urOJtltt91KXuSRRx55LNSx9957dy3QJMJ+8pOfdGeD4zr+tBcfGF/84heLp7T/o8Db3/725vOf/3z5H9zgBjdo/u///q/573//24Uko47XXbcKyVImdufPeMYzmqOPProLGS+MdjfbbLPyP2iV6+bUU0/tzpL5YtNNNy3tRLLw/Oc//2l+9KMflc83vOENm1ve8pblc7Lw/Pa3v23agVFxcP3oRz/ahU62x61C0myyySZdyGBIhSRZFKRCMskee+zRfPCDH2yuf/3rNxdffHGzzTbbdN8kc4ED67ve9a4l/mZ8X1ZfffXyOVlY/vnPfxb/iwc/+MFlmmbrrbfuvkkWGlNOf/7zn5vDDz+8OfHEE7vQVEhWmFRIxoNUSCahkHzta18ro0bz7/w0OAX2w++ud73rNTe5yU26kIXn5z//eXOLW9yiO1t4/v3vf5dR3gYbbNCFLIs9SM4+++zmVa96VXPkkUeWtsGeJDe60Y26GMlCol2mcHMGfctb3jIjx+NkfrABo83RDjnkkFRIBkEqJONBKiSTUEguu+yy5gc/+EFZcRAbRmnAe2H6Rr/vFoK4P0Y1DfG9JY7y8853vnMJS4VkeKRCMjqkQjJgUiEZD1IhmSQUEnPs4U/CrDoVVjDoZIfBpZde2jzlKU9p1l9//WJ6HxZ2arbEl7WoF9aRD3/4w2WqhnKXCsnwSYVkdFhohWTsV9m87W1vy1U2YwBRbRWQ7mySlXGVze677z6x6aabls+Pf/zjR1qOL7744olb3OIWEw9+8IO7kNGjVUiKbOGKK64obYPzViEpYcnC0yqEpQxahWSZOp8sLC95yUsmVl999YnDDz+8C5lE+bQKSXc2OMZ+H5IkSYYHB8W0RCZJMhPGXiGp55CTJFlY+ikkppvsLnvRRRd1IUmSJCuBQnLuuec2P/vZz7qzJEkWEitsvCsm+OEPf9jc6U53ag477LDmgQ984FK+XUmSrNyMvUJiK9x+3vVJkiw85513XnmlPDiWL5ZttZMkmX/GXiFZd911m3/84x/dWZIkw8TLxurX/DtPkiTB2CskO++8c7Pxxht3Z0mSDJMHPehBxX+EIrLXXnuVl9wlSZJg7BWStddeO6dskmSEOPTQQ8tbgN/znveUd5UkKwecm5W7vXHsnTMx2C2wklngTdDenKwsfvGLX3Shw2dsFRKra17wghc0J510UnPFFVd0oUkyPtjIix9GsuL0TufqJG36xOnWZlC9x2te85rM8xXkwAMPbI466qhm//33b571rGeV9nk6vvKVr5Ty6VcO3q1CoU1mjzzdYostmoMOOqiUxSMe8YiyeegoMJYKyb/+9a/mUY96VPPlL3+5vLXTeZIkSS+1QmI7/tgl1LtvvNSt9/jYxz5WdqhMZo8FBi960YvKqPzxj3/8tDsM4+Mf/3iz2mqrNXe7292WKQe7NJ911lldzGQ2/O53vysr3/SPysILOpdXFgvF2CkkGphdd921bA//1re+tfne976XI5pkLPFG2tpBNJk9a621Vvepaf70pz+V//zO7nrXu/YdmTNv91pVkpnx97//vVif4L89aqbjNre5TXltgpF8bzk89rGPLW8ETmaP/vBvf/tbdzY5lTYq+3WNXWv2hCc8obzddL/99ivWkT/84Q/NrW996+7bJEmS6Vl99dW7T8kwWWWVVVLhXskYq9L+yEc+UsyuL3zhC4tiQvPTuBDsJEmS6YhR4gUXXLDUZm7J3PnQhz5UfJ6srLIVgzbaSw+ns5JwgL3ZzW7W96WIyYrzspe9rFj6Ntpoo2a99dZrvvCFL5SpyFFgbBQSZtR99923ODsxB3JmfcxjHlPmG3PEkyTJ8ojVeP/v//2/Mm2TDIZf//rXxXmSwmdTvKc//enNz3/+8+LLcPbZZ3exluUhD3lI88lPfjJXSQ6QU045pXnzm99cnLdvdatbNbvttlvZPZm/zii8VXlsFBJ7G3CAMrfIg5gmfsc73jGXliVJMiu23XbbHJUPEO8u4g+y6qqrFiXEYPEvf/lLaa+vuuqqLtaycCy+3e1u150lg8BrVLgz4MorryyOwQbztscYheW/Y6OQfOlLXyrLyJ773Od2IU3z4Q9/uPnxj3/cnSVJkkxNOL8/73nPa/785z+Xz8ncufOd71z2mzF1zpny2muvLVM1rCX3uMc9uljL8ulPf7p529ve1p0lg4CzttU1Fn0oBz6WFEX7koyC8jc2CslPf/rTZrPNNisCbK+AF7/4xSXDmaPCe75G42Nq57WvfW0XkowiT33qU5d45veiDJXvuGL0qMFIFoawpto99lOf+lT5nMwdlhDKxZprrrlk+tyyXZbs6abGjOaPPPLI3LZhgNgO401velNzoxvdqAtpytSNZdizdW0wFTdoxkYhsYkOrY/w6qTMVxJoSsp0Gd1PWUlGh+nWx3NaHmcv/OUti0wGS0zTbLfddpn3A4aFxLQA51YDxpNPPrnZcMMNu2/7o+22VDin3QeLfL3xjW/cXHLJJc073/nOIu9bbrll9+3MmY+lwmPRmhspezeGBkUHxX+EhYQg086ncoriyPP85z+/O0tGEd7fVj30gwJqafe4svnmmy+1T0Yyv8SUjdUdyfyw/vrrN894xjNmNBr/1a9+VQYdyfyw/fbbNwcccEB3NnuWp1CuCGOhkFA8NCJMSObCQtgJP2/ufqMdissDHvCAXOc+4lA6vJAtSeabm9/85uW/qTIjx3322WeZ45a3vOVS5u5k/uBjss4665SN0XrL4eijjy7Ox8l4MVa9McWDgmFjNFx00UXNTjvtlB7zSZIsl1vc4hal/eB4aTmkZae9xzHHHNNssskm3S+S+cQ7VkzZPPShD12mHPbYY4/m2GOP7WIm48JYKSRMrjyGQyExjbPLLrvkOvYkSWZEWExtH9A7Knfc6173Kt8n808sFe5XDnvuuWdz29vetouZjAtjpZAQXtYQDjtJkiRJkiwexkohsemOVTOzXb6UJEmSJMlwGSuFJNerJ0mSJMniZKwUEg5QuUwySZIkSRYfY6WQ2O7ZMtEkSZIkSRYXY6WQ2DnOS5uSJEmSJFlcjIVC4l0nduzkzGovgSRJZs8111zTXHHFFfOyJXSS2HguZMsOrDY9SxYeK1G9STmwOtUxCoyFQmLvgFvf+tbNJz/5yeZhD3tYF5okyUyxy/Ed73jH5k53ulPZ/CtJBo2dVeNlma973euabbbZpvsmWUi82JBCaACvLL761a82d7nLXbpvh8vYTNlceOGFzec+97ny4qbg5S9/efPSl760+cc//tGFJEnSD29V/e1vf1saq1e+8pXlxZQrG15B4TDA8T4su7X2Hi94wQvSgrSCvOQlL2kuvfTSkscXX3xx85SnPKX7pj+f//zny+7b/cph3333bd74xjd2MZPZsMoqqxQlxI7EykI+G4yMAmPlQ9LLK17xirIUOHdqTZKp+eUvf9m8973vLcoIhd7o6dnPfnb37crD9773vfLsRo12ZN1///2XOT7zmc80P/3pT7tfJPPJpz71qbJIwc6sveVwz3ves/nIRz7SxUzGhbFWSCgj5spSIUmSqTnqqKPKqN888mtf+9rmZje7WXP22WevdFYSL3PDrrvuWrYl7zcy9wbafi/rTAbPHe5wh7JI4eEPf/gy5eCVIN///ve7mMm4MNYKSZIk0xPWEQ6GnN34kjz/+c9faa0kSZIMj7FWSJj7/vjHP3ZnSZL0wjpC+XjmM59ZzlkAnvvc566UVpJ///vf5f95553XrL322uVzMjy+/e1vN+uvv35auFcixlohsXPrGmus0Z0lSVIT1pH11luvvNLdVITGf911121OPvnklc5KEpsq8hHZaaedyudkeHAstgyd5S5ZORhrhUTjGq8TT5JkacI6cuKJJzZ3vetdm6997WvFl8RyzEc96lErrS+JUXkyfG50oxs1N7nJTbqzZGVgrHtrTq2sJEmSLE1tHdl7771L2Ac+8IGixMemSSublcSz4nGPe1xz7bXXls/J8LCVg60bkpWHsVZI0tSXJP057rjjllhHggsuuKC55S1vWczkCCsJRcUuruNOtBfywfLeZLj85je/KZv05VvcVx7GXiFZbbXVurMkSYKzzjqrufGNb1w2Dtxyyy3LYR8Om6P94he/WBLGbG7zpE984hPdL8efe9/73kscXJPhsdlmm5X/5C9ZORj7KZvcMyBJlsWmgebnrWSIw74Olv1eeeWVS8Ksutl4442bPfbYo/vl+PJ///d/5f9ll11W/ifD5eqrr14yjZasHIy1QsLcfNVVV+XW8UnSAz+Jn//852X0Od3x5z//ufnRj35U3nsx7piugo7wpJNOah70oActc2yyySbNmmuuWeIl84vBJKX5EY94xDLl8LSnPa3sppuMF2OtkHzhC19oHvOYx+Q69iRJlgsHX6vyOMJ7t4+9WXoPW+tvuOGG3S+S+YQPEwtJv3I44ogj0uF1DBlrhYSp2TsPUiFJkmQmxDYBO++88zKjcge/mmRhuMUtblFeBNevHOwTs9FGG3Uxk3FhrBWSJEmSJEkWB6mQJEmSJEkydFIhSZJFil1VY2VIkiTJYicVkiRZpHz2s5/tPiUrysqw4VuSLBZSIUmSRcr97ne/5jrXuU53lqwIN7/5zbtPSZIMm1RIkmSRQhlJhSRJknEhFZIkSZIkSYZOKiRJkiRJkgydVEiSJEmSJBk6qZAkSZIkSTJ0UiFJkiRJkmTopEKSJEmSJMnQSYUkSZIkSZKhkwpJkiRJkiRDJxWSJEmSJEmGzkqrkExMTDTf+973urNklPnud7/bfUqSJEnGlZVaIdl8882bl770pV1IMoo84hGPaG5/+9t3Z0vz73//u7nqqqu6s/Hj+9//fvOHP/yhO0uSJBkdrr766u7T4Fjpp2yuf/3rd5+SUWSttdbqPi3Lda973bF+/f4NbnCD7lOSJMlocb3rXa/7NDhWWoVEZ/a3v/2tec5zntOFJKPI6aefXsqpHyrEZptt1p2NH7e61a2mVciSJEmGxfrrr999GhwrtYVktdVW6z4lo0yWU5Ikyfiz0k/ZJEmSJEkyfMZeIfnTn/7U/Pe//+3OkiTp5corr2xOOOGEpY4zzzyz+zZJkmRhGGuFhDLywhe+sPnd737XhSRJ0svd7na34kv17Gc/uxw+77333s2rXvWqLkaSJMn8M5YKCYvIL3/5y+bwww9v/vKXvxQH1iRJ+vP3v/+9edazntWsuuqqzTrrrNPc6173KnXms5/9bBcjSZJk/hnLnnrXXXdtNtpoo+bUU0/tQpIkmY5XvvKVRSG52c1uVpYb2+MlpzqTJFlIxlIhucUtbtF9SpJkJlznOtcpm7D96Ec/an7zm9+UsH/961/lf5IkyUIwlgrJm970prIT6/Oe97wuJEmS6bjvfe/brL322mVvl/vc5z7NKqusksutkyRZUMbaucKW48zP//znP7uQJEn68elPf7r5/e9/Xzahe+tb39r85z//afbYY4/u25UHAxnwP3vyk5+8zHHSSSeN9e7Ao8RXv/rV5h//+EffcjjyyCOb97///V3MZFwYa4VEo8JJb7311utCkiTp5c9//nN5gWF9/PSnP23222+/LsbKwQ9+8IPiN2MQs+666zZbbbXVMsdHPvKRkjfJ/HPhhRc2q6++enOHO9xhmXJYY401UiEZQ8ZaIbHChnMr83OSJP258Y1v3Nzudrdb6lBvVjZsE4Add9yx2XrrrfuOzH/xi1+UVUnJ/LPppps21157bXPwwQcvUw777LNP841vfKOLmYwLY62QeHFeLvlNkmQ2UNCS4cOHKdvvlYuxLm2WkRj1JEmSTIelzjBVYEogGS7f+c53ygvc5uOtssloMtYKCQe9G93oRt1ZkiTJ1PAdwcc+9rFmp512Kp+T4fGgBz2olAVLd7JyMPZTNqldJ0kyG7bffvvsBEcA+0nd8Y537M6SlYGxVkhs7JRLfpMkmQmxnPeYY45p/vrXv5bPyfD4zGc+07zzne/szpKVgbFWSDhF5fbXSZLMhFBITjnllObiiy8un5PhcdVVVzXPeMYzlvj2JOPPWCsklBHr2JMkSZZHTNOYsrEhVzJcbn3rWxc/wNyIbuVhrBUSmnVq10mSzITYpdXGcMnw8U6ltHCvXIy1QmKHVrsqph9JkiTL4+Y3v3n57wWD73rXu5oDDzxwmeOWt7xl7lOyQNiywY65hxxyyDLl8KIXvajZZpttupjJuDDWCsnHP/7xZocddsiVNkmSLBe709qIyzTBgx/84NJ29B7Pf/7zm4033rj7RTKfPPzhDy9lcf/733+ZcnjIQx5SlJJkvBhrhWTLLbdsHvrQh+YSvmQsMbee8+uDJXYG3XfffZcZlTu222678n0y/3iFwaqrrtq3HPbee+9m880372Im48JYKyRJMs587nOf6z4lK8pvf/vb7lOSJMMmFZIkWaTc/e537z4lK8paa63VfUqSZNikQpIkixRL2vPlY3Mjp3OTZHTI1ixJkiRJkqGTCkmSJEmSJEMnFZIkSZIkSYbOtAqJ7ZN5oc/ksF48SZIkSZJkRZhWIXn3u9/d3P72t5/R8cpXvrL71Whh++HcqyFJkmS4GOBeeumlzac//enmy1/+cvOf//yn+yZZaK6++urms5/9bCmLK6+8sgsdPtMqJI9//OP7WkP6HaO2ax7hf+pTn9q84Q1vaK644oouNEmSpD/xLhsrl/bff/9mzz33XOY49thjsyNdQQ466KDmxBNPbF74whc2r3jFK5qjjz66+6Y/X/ziF8trP/qVg2u9+c1v7mIms0HfeNe73rXIsrKwCeBnPvOZ7tvhMpY+JKaPHvawhzW/+tWvmtve9rb5gqYkSZbLD37wg6JsXOc61ykN9qMe9ahljk996lPNz372s+4XyWz49re/3Rx11FFlVL7ffvs13/nOd7pv+nPRRRc1N7jBDZrdd999mXK4853v3HzkIx/pYiazwayB5e6f+MQnSlnc5S53GRkrydgpJH/+85+bXXbZpbwE66UvfWnzrW99K9/4myTJctF24JGPfGSZhu43Mr/mmmvKCDNZMSh79f/pUAbKZLfddlumHAw4R2mqYbFR5/9MymKhGDuFhKmVIG+//fZLBJqVJEmSZCaMUgO9MmPqLMti5WKsFJL3vve9zV/+8pfiO3LEEUeUOeG11167vKApSZJkOsI35KMf/WhpN5LB8brXva755je/2ey6667NjW50o+bII49svvKVr0y7OtMUz/rrr5+76Q4QCzwOO+yw5uc//3mR8TXWWKP4j3zgAx/oYgyXaRUSwsJEOZMjzJ3DgiLyuMc9rnnSk55UBP4973lPc8ghh5S5xn4KiYK5yU1u0nz4wx/uQpJRREOmnPph9PSHP/yhOxs//vSnP+Vy+gUkOr7vfe97zU477VQ+J3Pnl7/8ZfOCF7ygDBAd6vTvf//70ma///3v72Iti6mZyy+/vLne9a7XhSRz5Y1vfOMS35utt966efrTn978+Mc/LkqJfnw2KL9BM61CQlg4vNTHFltsUaZCesNf+9rXdr8aDlbT0Kb32GOP5ta3vnXzoAc9qNlwww2n9YinRH3+85/vzpJRhAxOpexyVv7pT3/anY0fOsZ//etf3VmyUGy88cbdp2QQcAK+1a1u1dzwhjdsfv3rXzdPe9rTSmdmoGj56VQYiKy77rrdWTIIKB177713+fyFL3yhefWrX136yDXXXLMsApkNFM1BM61CctBBBy1lBXFYJnTggQcuE04DHiaWiFlGZromoAnS/qZC3Gc84xndWTKKvOMd72ie/OQnd2dLY475Tne6U3c2fhjB5NtoF45YjcfKagSfDAYDVsrFKqusUhyCWf38N9Dg6zcVH//4x5tXvepV3VkyCLbddtvmq1/9alm99Ne//rWUA8WQgsjQMBtud7vbdZ8Gx9j4kBhNWllz9tlnlz1RnvnMZza/+93vikLC9N2Lzuzkk09uNthgg3KuMbLmfZhYDTTsFUHyYNgbyf39739fsifE5ptvXqxfSTLfxNTAueeeOzL7MowDLCMXX3xxsXbwWYB2l6IynULCmmKgm1bCwfGIRzyiDPJufOMbdyFNmVE49NBDSzkNm7FRSKxp16DQ+Gh7t7jFLZpf/OIXRYvzmvbp0PnREpdnQpxPjBqMIBzDUkq+//3vL8mHYXHBBReU8rrpTW/ahUzPdBawxc4Pf/jDsfaRGVXufe97Zyc4YPjnsJKcd955zfve977iR7Leeut13/Zns802K4OjGJwkg2GjjTYqfpacjLW397jHPZrb3OY23bczZ7ZTPDPhOm1hT1na3/jGN4pmW2NjoGuvvbZsVlNz97vfvdluu+3K1Ik5Qv8XCkJLy6P5SRcveY0KsxSfl2222aZ5+9vf3sX+37K+hzzkIeW/LDj//PPL5x133HEoHTIlxEY1sI8KC85Cw5JkO2FE3iw0FMLLLrusKJf8gIKPfexjZfqiNqWvs846ZY+CumzHiS996UulsairKB8p+fOjH/2oecITntCceuqpI7vxn7biKU95ShkUfOhDH+pCRwsbddk1VB6ffvrpzQEHHFAa5+OPP75swNWL9uSDH/xg+Z/MDgsMTjvttGIZYYV629veVv73Qp4pMFaBaJNMLfSO3m1ip530P5kdfHr0j7HB38EHH1ymcvzv5bjjjit1wQIRu+wG+lCvAdA+DZJpFRJmS1MgNeEk2rsUi1c6c9AwFBICzLLAAXKvvfYq70kg9JzTCLRNdLyXJ9DZDXtaIpk9nJZrrZwVhQ/Q8ragXqxQvowSayUsFZLBUisk0nv/+9+/WW211UoDbRTZi/bPwMcoM5kds1VIWEoNDu95z3t23/wPAzaOmO9617u6kGSmDEoh+clPftJssskmXchgmHYYbn7vpJNOWuown+/oDaeMDBuatAYj5seM9llMepWnVEYWJ/063nHehTfN1QsLhVdHx4fJXg2cqXuPE044IZWRBYLyrT3vVw4WJOgok+ExH23T2PiQQGNiVBP7VnByNY3Uq5A4p+HJUEdYfcAXJcLnetTz/xxsI5zW7/7MkBFW+65QrCJ8IY9PfvKTXQomhS0OaXVwRIswZuugjjvXg6MxlFEdDmmo0WF7NcC48rnPfa754x//2J0lC0FMlZoOeOhDH7rMMc6rukYNFm6W737lYDo3l2cPl/nYun+sFBI+IxqU8OSejrpzM4VDG+cHwxdlUDApPuABDyhKEX+HIO5dp+HmN795c7/73a/4sCzPCXe+kE4vFbMhUU2vIgDPxQTrJVmDhE/IVltt1TzxiU/sQqZGuqzCGVfuda97TbkpXJIkyTCZj1eyjJVCwr/A2nZzwLOFr4ytjCk1g8Ra+pkuITSH7Q2Xw4LF5mtf+9q0uycGpsXsosgRcJAwh/P+fv3rX9+FTA2FZFjK20LAShQj9iRJklGid+ZhEKy0rR1zP8VlJp3voLBqwpRSvC3Unh/OmeZHEdvv6/DD58Zrq43Y7Q+wUJizn0rB1FnPx26Bo4JpPtN3SZIko8ZUO2jPhbFSSGTQbHa2pBiwCCwULCD2GwmfCP+d81sZRewZwMEv4Gsjj+3vslCcc845SxS4XqTHEvRx5aqrrhprp90kSRYvBqiDZqwUEqNJTlAzxXLRZz3rWd3Z/MNz/9hjj12SRtNDxxxzzJJ3C4waNi+ql9RS9l7+8peXZXsLhWV9z3ve87qzpWEh4W8yrvBpyq3jkyQZRWxJMGjGSiExtTDTEaXOzBrrme4IOghMPXgXUGxR7b9t7kfVD0LeyKPwY5D+5zznOX2dXOcLL+V66Utf2p0lSZIk48pYKCQ6yDvc4Q5FGalXsyRJkiSjgU20TLHaDsHrPW52s5t13yQLiYGwLTFsuKgsLGbotwngMBgLhSRM91dccUWz7777dqFJkiTJqGCjTdZOVk9TsXYLTRYe7xBild9yyy1LWXgxrenhUWBspmze+973NhdeeGGZAkmSJElGi2c/+9llWwOjcu+mOuigg7pvkoWE76LtKKxQVBY+j8p+TmPlQ5IkSZIkyeIkFZIkSZIkSYZOKiRJkiRJkgydVEiSJEmSJBk6qZAkSZIkSTJ0UiFJkiRJkmTopEKSJEmSJMnQSYUkSRYpNgKMNzEnK4aXWyZJMhqkQpIki5R4J9Io443Mo6w0/fe//+0+JUkybFIhSZJFyu1vf/slLz4cVa6++ury3pJRZY011ug+JUkybMZeIbnyyiubf/zjH91ZkiQLycYbb9zc5CY36c4mOeKII8q7NO52t7uVl60lSZJg7BUS77e55pprurMkSYbJmWee2Zx44onN3//+9+ayyy5r9ttvv+6bJElWdsZeIWEd8XrlJEmGz69//etmYmKiO2ua3/zmN92nJElWdsZeIbnjHe+4VAOYJMnw2HPPPZsNNtiguc51rlOcco899tjumyRJVnbGXiF5yEMe0my44YbdWZIkC8lVV13V/PGPf+zOmmb99ddvvvWtbzXnnXde+f/gBz+4+yZJkpWdsVdIkiQZHpxXr3/963dnk6yzzjploGCVUJIkSZAKSZIk88aNb3zjZpVVVunOkiRJpuY6EwN2sPjiF7/YPO1pTyv/R4G3v/3tzec///nyP7jBDW5QNmsa1qZIRo3hbGu1wahjrp+Y3PzmN29++ctfdqELC5+Dm970pks5QTp/xjOe0Rx99NFdyHjx+9//vtlss83K/2CPPfYoq1N+9KMfNY973OOaU089tfnoRz9a8qeXc889t+yzcf/7378LWVi+/OUvN8ccc0xZ+vvmN7+5C11Y5NPFF1/cHHTQQX33bHnxi1/cXHrppUW+v/3tbzd3vvOdy2Zu9k650Y1u1MVKFhLtMqva8573vOYtb3lLOj4PkeOOO645/vjjm0MOOaSsjgu0Nz/5yU+aTTbZpAsZEBSSQdJW7oltt922Oxs+b3vb2ybahrs7m6QV9om2cerOFp7VVlttoi3QiVVXXbULGW3klfRusMEGXcjCQ1RbBaQ7m2TdddedaCtMdzZ+XHvttRNrrbVWdzbJ7rvvPrHppptO/O1vf5vYcMMNS77kMffjOc95zsQVV1xR2gbnrULS5Xiy0LQKYSmDViFZps4nC8tLXvKSiXYAPXH44Yd3IZMon1Yh6c4GR07ZJMkig3XvLne5S/O73/2u+fGPf1xG93ms+MHKdsIJJyxlRU2SZOHJKZshkFM2syenbCZ59KMf3Zx99tnNaqut1nzkIx9pNtpoo+6bZC684Q1vaF7/+td3Z01O2QyRnLIZHXLKZsDklM3cySmb4dBvymb//fcveRGHcsljbkedn60SUv7nlM3wyCmb0SGnbAbMb3/72zK6T5Jx4J///Gf3aRKyncfcjpq//vWv3ackSRaasVdIvDvja1/7WneWJIubVVddtfz3UrroUMNsaiVJ3dEO+zANgpjyG6XjOt2qJBu0RZjpMVMFSZIMh7FXSA4++ODm7ne/e3eWJOPH6173umaXXXZpDjvssC5kNNh3332bRzziEWUOetR42cte1uy6667NDjvs0IUkSTJsxl4h4cCaJOPMIx/5yOb8889v7nrXu3Yho8FNbnKT5pxzzmme9axndSGjw1FHHdV86EMfSsfVJBkhxl4hueSSS4rHfC9W2TDbhll5IfjEJz5RNmeKlTVW2ji3sdUoctJJJ5U8kle45pprSnotNV0ojjzyyCXm9V6EL2RaRgnbr2+//fbdWTIXvIHYtNLKKktJsiL86le/6j4NjrFXSCwZ84KvqdAYLRRXXnllmauucf6HP/yhOxstvv71r3efJom5dorUQjGd/48dNVdmfvCDH3Sfkrlw9dVXF6W7t24mSTI187FtxtgrJLba3mqrrbqzpbGfw/Of//zubP55ylOeUrbztv8IvOPjwx/+cLPXXnuV81HDdt/yKLDvx4UXXthsscUWXcj8w+nw/e9/f3e2NEa1m266aXe2cnHaaaels/aAsF0862Xu6ZIkM2c+3qI/9grJVJh6oKwspI+Jez784Q8v/+Pc/H+cjxryRh5F+pw/8IEPLJ8XCpvI7bnnnt1ZEpCjDTbYoDtL5srOO++8ZKCQJMlwWGkVkiRJkiRJRodUSJIkSZIkGTqpkCRJkiRJMnRSIUmSJEmSZOikQpIkSZIkydBJhSRJkiRJkqGTCkmSJEmSJEMnFZIkGVHsMDyqu/gmSZIMmlRIkmRE+ec//9l9SpIkGX9SIUmSEWXzzTdv1lprre4sSZJkvEmFJEmSJEmSoZMKSZIkSZIkQycVkiRJkiRJhk4qJEmSJEmSDJ1USJIkSZIkGTqpkCRJkiRJMnRSIUmSJEmSZOikQpIkSZIkydBJhSRJkiRJkqGTCkmSJEmSJEMnFZIkSZIkSYZOKiRJkiRJkgydVEiSJEmSJBk6Y6+Q/Otf/+o+Jcn4sOuuuzZvfetbu7NkLvz3v/9tdtttt+a3v/1tF5IkyTAYe4XkHe94R3P55Zd3Z0kyHlxyySXNUUcd1Z0lc+GLX/xi8+EPf7j505/+1IUkSTIMxl4h2XvvvZs73/nO3VmSjAe3ve1tm6c97WndWTIXttlmm+aud71rs/rqq3chSZIMg7FXSG5yk5s017nOdbqzJBkPjOqPOeaY7iyZCze4wQ2ar33ta83Nb37zLiRJkmGQTq1JkiRJkgydlVoh+ctf/tJ9Wjj++te/dp8m6T0fNeo8mpiYaP7+9793ZwvHMMopSZIkWVhWWoXk//7v/5o11lijefnLX96FzD9nnnlmc+Mb33hJp/6Pf/yjnJ911lnlfNQ4+uijSx7JK1xzzTVlnv373/9+OV8I9tlnn5KGJEmSZHT41a9+1X0aHCv9lI1R/0IxDOvCXPjb3/7WfRoeo25BSpIkWRmJgeogGXuF5Oc//3nzn//8pzv7Hxxdf/SjHzXPfe5zu5D554ADDmh++tOfNquuumo5v+ENb9j85Cc/aR796EeX81HjxBNPLHkUTsE3u9nNmquvvrqs8FgoLMf84Q9/2J0lSbJYsaz6E5/4RHPOOec0F110UbEQJ8PhBz/4QfPRj360lMWXv/zlLnR2bLDBBt2nwTG2Csmf//znZr/99iubR/WbYtDJbrrppt1Z05x77rnNW97ylu5scLz//e9vTj/99O6saTbeeOMlHbz/m2yySfmMd7/73c173vOe7mw4nHLKKUVQA3kU6b3uda+7ZCUCy9LrX//65uMf/3g5HxSUx9e+9rVln41gs8026z4lSbJYedKTntScccYZZW+ot7/97c0LX/jC7ptkIWH53nnnnUs5OA4//PDm//2//9d9O1zGUiH5wx/+0DzgAQ8oFojb3/72zT//+c/um/7YqfGRj3xk88QnPnGgo3FK0WMf+9hiGfF5On7zm980++67b/GZGNbI4bOf/Wxz6KGHNg972MO6kKk5//zzm8MOO6x50IMe1IUMhlNPPbV5xjOeUSpMkgwbCvJ3vvOd8vm73/1u7vw8B6644ormmc98ZhmVaxevvPLK7puZoV3/2c9+VtrH733ve11oMlt+97vflT7vAx/4QCmLO9zhDivU71111VXdp8ExdgrJtdde2+y0007Nve997+bJT35y8/nPf74Ico1GxvyX/QccMYWC293udkvC53qsvfba3VWb8jnC+ZKwMKhYEVabvzi6RvhCHve73/26FEzuzRCHvJJe0zUR9vCHP7yLuXTcuR5GUfj3v/+9VDj6Tb0lyXxyyCGHlAb7MY95TBnc7LXXXt03yUJzq1vdqliUtVObb75588EPfrD7JhkGa621VvdpcIyVQqLT1GDssMMOzS1ucYuyA6MRTW/GrbbaauW/Di6OQOdbh8/loIUGPkc46k52urgLedROSnU4bDCH5cWd6zFdGihqSbKQhNyH7N3oRjcq/5OFxwo/08ZRFtGGJsMhFZLl8OY3v7koG6Y9jjvuuKKgbLXVVss4YcZqF5aROIJVVlllqfD5Oq53vestdW56KfC5/m6hDs8e1OGI93xItyP8ShBhgzimui5+//vfl/9JslBw7La8kc/Dr3/96+ad73xn900yG7x36Rvf+EaZ4qVImO699NJLlzuVXfPjH/+4WMD5rZnirq20yczQ93mdisUeFDxtPgfjd73rXV2MmWNBxqAZG4WEoD796U9vDj744OJ4ecEFFzTPfvazmw033HCZUQ0tGwrHUW+89e1vf3tJ+EIe5kYDU0z94sz38clPfrJLwf/yxhEYLYbF4rzzzutCB2shedOb3lSuqdGqw3H961+//E+ShYKCvP7665fP66233pK2I5k52jaDRRgwcpq3nJ9v33vf+94SPhMM1NZcc80yQLnpTW/ahSazQTlQBMFPj8L9i1/8orw6gZIyG7761a92nwbH2NQuGX3LW96yeehDH1qUkG233bYI7vIcWiGeTcus7rj1rW/dhS4sGjsrgozEwiqx0Gy//fbNa17zmubss8/uQqZml112aU444YTiFDVIDjrooOZlL3vZUit9kiRZvPA9M4VOofCZ0zzLiPPf/va3XaxkIeDQ+qhHPap8ZmliqTLgMw1mUD8bdt999+7T4BgbheRLX/pSMQseeOCBXUhTRvzTmZXqnebsBcLCMkye8IQnNI973OO6s+Fghcsee+zRnS2dR6bAQmiNFI888sjmEY94RDkfFEyI9oaxSiqwQ2ySJIsTb1LmtK9u8+njsO4/paSu58n8c9/73resdlIWBuvadFM3Flhw3h42Y6OQXHbZZWWPDxvv6FR17MytzIVTdWimdo4//vjuLOmFwlG/AVUDsu666y7o1vG0+ak24OH8Ox9Lz5IkuPzyy8uc+7e+9a1ivbNqL5kdpl8vvPDCYgVeZ511SpgVM1tvvXVZeDBTTjrppOaII45oLr744ubxj3/8rEf0SVMUQFsreB1H+OtZWcpSMtsp8RXdUG06xkYhoXgYtdv0RWZvt912Zc07TXA6K0ntRJksTTiTDpPp0qC861U5STJonva0pxU/B5ZXDq1PfepTu2+S2aCdNS1gKvYzn/lM8V2ot0WYCXwCTSlbtGBDr9NOO637JpkNfKL48ugzv/71rzd3u9vdymB+trB0DZqxUEh0SoSb0PvMv4GFZM899yzTD9as98N8mmmepD+veMUrSh4FFL0//vGPC7p1vJ1up5pnVt65i2syn1itt+OOO5bRuXaFf1Oy4vCPM1hcEedgFlsbqp188snNQx7ykNK+JyvORhtt1NzpTnfqzmaPvb4GzVgoJObBLAm1LM+qEHNiAUfNqdZLh/kwmZo6jygAsS/DQmKaKEmGgTl3yyLvc5/7lN2JKSXJcHjpS19arFUGmSwtOtRkvBibKRtwzGFGytfVJ0mSJMniYqwUEpYS85TDGMUnSZIkSbLijJVCYl27aYW0kCRJkiTJ4mKsFBLOj1bZDGtjsSRJkiRJVoyxUkhs9FK/pC5JkiRJksXB2Dm11itskiRJkiRZHIyVQmK6Jl8PnqwM2C13PjYmWlnxYrG0ribJcBkrhYRDq6PGevUf/ehH3VmSLB5+8IMflDc/9+Me97hHc5vb3KY7S+bC9773vbJT5Xy8Tj1JkpkzFgoJJcQLnGyO1rsJmv3502qSLEaW926JlOvBkE7wCwMF2runHL/5zW/KG4CThUe74q32P/7xj0tZeNeQ7TJGgbFQSGxDbMRop9anPOUpXegkD3rQg5qb3exm3VmSLB68gGyqXYZ/+ctfNt/+9re7s2QubLLJJsUhftNNN+1Ckvlg5513bt7+9rc3O+ywQ9n19v73v3/3TbKQeJeNl6Y++MEPLmXhje73ute9um+Hy9hM2bzhDW9oPvCBD5SXYSXJuFOP6r/4xS82hx56aBnxjBKczL15+8wzz+xCRgdbkHv5ZvjheAln73RvMljI6Ec+8pEyKj/77LObRz/60d03yULihaXve9/7miuvvLKUhX7T4GcUGCsfkn6ccsopzWWXXdadJcniweu9p/IhqfHCMXLuXR+jhLexvva1ry1vZx01pMkbZ//f//t/XUgyiqTj9vBZyDK4zoT91geI0Rorhf+jgLf5Mm+ffvrpXcikhuitwAN+9LElRo625Pe232EgDWuuueZSHfRNb3rTMgI/+uiju5DxgpPl7W53uzKdEOy7777Nu9/97vI5fEysDiHLpi5X5C2q84U65sDy/GEWmv/85z/lf51nERakxWQ4RLt8y1vestSBLIfhEWXx+Mc/vnnb295WPkOZKBvTnYNk7BUSc5af//zny/8gFZLZkQrJcOCkvdlmm5X/wW677dZ8+MMfLp+zoR4s2gOvn6AA5n5Gw8UWDpRYSmKWxfCIzUYf8pCHlBWrQSokK8jBBx9cOrGzzjqrC0mFZLakQjIcTDVuvfXWS+2PYarhPe95T/GKD6vDX//612JW5VcySitGdCZ/+ctflpTdKEGO1f86H2vZqp2JI9w7srQdo4xnijoqz0ddaSXbf/7zn8vnfnmOCI+4oyhP/fjXv/5VFCsWuMXwwlc+Xw6rbmIFH4Xk73//e3PQQQc173jHO0oYlMF8KCQEeKBceumlE9tuu213Nnx22mmnZdLTCghNpDtLloe8crSVqgtZeNy/bYS6s0nWXXfdieOOO647Gz8uvvjiZeR03333LWHXXnttFzIxcetb37qEHXrooV3IaPDOd76zpKtt4LqQ0SHagE996lNdyMREq+CWMEdN2/iWsK997WtdyOjSKiNLnqHtDLvQ0eWSSy7pm+cRtvbaa3chExPnnntuCVN2i4EXvOAFJb3aqcXArrvuWtLbDoK6kImJa665poQ9/vGP70ImEdYqJN3Z4Bh7p9a99tqr2WqrrbqzJFk83PnOd55y2W/NZz/72TIlecIJJ3Qho8F+++1XrDlf/epXu5DRgfXJSoP73ve+XcjUcC5+//vf39zlLnfpQkYXI/GLLrqoufDCC5vVVlutCx1dtt9++7LKYyYW9Yc97GGlHL7yla90IaNNq5A0rVI+MrMFy+OMM84o7ch5553XhSw8Y6+QJMk4opNkDoY9BR73uMeN3EZpTNUGBHe84x27kNHhTne6U/OYxzxmyZTGd77znaWmxvidhUPu3e9+92bPPfcc+emPYMcdd2we+MAHdmejz+67795su+225XM7SG6+8IUvlM9QJldccUX5LP+Vg00wFwOmPg444ICyCdliwPSldiT27TIV/LWvfa18XijGXiGx7j23jk8WIxriei69xoZ/VuAkc8cGc3e4wx2Wch6+z33uU/YpSRYWPn/3vve9u7Om+dOf/lQs3PwVkoXFKifOrAvJ2CskRo2LwaEoSXqx4mM6OPUmc2eqabHcmn/h0QkmowHL60IzdgrJ5z73ueL5aydAMF8ur+G+9tpry3y9dy1YYtZ7bLnlls1xxx3XxU4GgS3+mfL75fcWW2xR5vbr/TeWhw2u9thjjzKiWsww8b7xjW8sn8njVJ2ld4Fcfvnl5bNR5VR5aeRve2ge/0l/NtxwwzI1ULcTVgiN2kZzKwP8Lur9YNZee+1ynorKYNAO3O9+9yt9Wr/2QjvypCc9qcT91re+1fziF78on6fD5oeD8tMcO4XEC5uuueaaMtcYSsnyeNe73lXeg2MrY/PKTOEbbbRRs91225UNYe52t7uVnTCTwWFzrwc84AFlztIcvU5BJeEIaU6ZGX2mu2iK5zfjsOsmB1DLmF//+td3If2J5af8HCxpN4VT56UGYv/99y/58s1vfrP5zGc+U+In/eHvUjPqy3vHmd68z7IYHBdffHFRNHbdddeyyaIBi/Zim222Ke2HNpmzN18eLC/vKSPPfe5zB+YWMXYKCU2al7D9GCglM/HI5sRjRH788ceXkScHq2OPPba5+uqrm4c+9KHNy172skXj0LZYsFfCa17zmqL8GQHJ4w022KDsCWFkKnwmew388Ic/LJ2uDsXqgsU+PUepMlI3UnzrW9/ahU4NhcReH6961avKJmpG+vKSTHOqY9kTntOWSZJoU29729uWNlbbob/02V4jrCPaZFbmUEimw4ocyojrDGrl08AUEtMeP//5z4ulgVnIZ8cwTMU8zO1mSSlh2fjpT3/afbN8vve975V3cNjc7bvf/W4pqGT++N3vflesAocddlhzwQUXzErTthmYZaWUkU9+8pPFkrXY8SZO046UEg3FbKatfvvb35aGQV5a9pmOgEmSTIXBnEUf+jrTv1M50E/FK17xiqKMWELP0jIIBqaQvPjFL2423njjMuXB3L755puXc1aGYRBKyTrrrFOWM80Uy/006F6N7S2ltupO5o8XvehFZXrC9NgLX/jC5oMf/GD3zfIxPbfuuuuOjTIShFLClDqTkUpAgXnd615X8lK+juJbdpMkGQ3MJDzvec8r7cWb3/zm5jnPeU73zfIxY6BtGqQygoEpJPe6173K1sosCrFlrvNhOiMZbbPc2A53phiZmmP7+Mc/PqNNqZK5QbBNLXziE58or8+fzWZOtHNWAZa4ccMUC1+oem+M5SEvTXnJS68VH6Vt5JMkGS2sIvPiWe1Frw/V8qCM6OdvdatbdSGDYWAKyT3ucY+lvKMx7FErawdmY/aGAjKPVr8hOJk/aOfeUfGhD32oC5kZKoRjoTfvWQjsicGESumaDW9605tKXtr9MkmSZDrsfKu9qF8+OxNCgaHQDJKBKSQ0pXhJFXzeaaedurPh8NSnPrWMuGeznwALD8ce3sbM3rPtEJLZwXqlMliayt9nNsqjZWrrrbde84QnPKELGR/sAcDJbDYrDChntqo23ehV4en/lCTJVGgftBPaC1sNaD9mCgsJK+6gd6EdmEKCektfnUW9494w+NjHPrZkCqkfvq9N4lbZSDc/BqsW7APBB8UqhpURFi95FMgr700ZFKZo7DNwz3ves4zon//855f8t+wsoKBM9W4F5WpKzvTauGHK8/vf//6UPiT8ZjgEB1deeWVpIOwwarn7s571rOI7lZaSmWG78trCS+Y4TScLizKoX3OvzQlLdzI4bBWgfbDFAF8zfbUVOBZ1BNoXy4SnwizCoPd9GqhCwiISVhKKgLXNw8QcPH7wgx+U6QB7NfAsDizptSySD4PjU5/6VAnnlGvvBg2S5alM5/xhVjZskCOPAu828DIsq4/mCuHXibKQUPishLIqJJaQsWyRJfd/+MMf3v1q8h0urFf21dB4abAoJeOGvJY3ZFDePPjBDy4rigJL2r2Phd8IpU5eUt6YX610i7yUXyyEuZfD1HzjG98oDXK9yoDMPeMZz+jOkoWCtdNL9AIdHiWbT1Qyd7QDBn2XXHJJaR+0LTY/025ob/hd8p3Urlge7F1Ugb2jbCXPZy8GSvXrFgbBQBUSldrDwj4Iw9774JhjjilzXVYrWIFgJG3lTY3MtxqI3whvY8+gsdegW6lj989TTz21rOhY2ejnPR2Ok3OF87BKQcAf+chHFksM4bcfjO8sQ7Mvic3SapgWWQf8t7X6pptuWjb0GTestAkLIyuHJdEseDVkMhoYS6cpLTY8YuHbZ599Sl6Sbx3uMLaBXixoq8h1L+QwWVimanNSoR4M2tSvf/3rZeNP7YM2l0VKG6z9MNALhaR3OsbeXOeff345IN6gnVqv02o6M19XuBxYE8zpG9Xp1DnMDBuZyPRttPPe9763mKg0NLTD+tFlstU1/TQ+Co3lzJ5tZSQaawqmMh4ERjzM4v2couSzzemMjAJpYFXRuZ544oll63kWuEMOOaSshx9HmEytUrN0/iUveUlRNjit2lmYVYhlBEY1GpWwCNbISw7nVsEl0yOvrNrCAJvFZAWINoeMj6MFdJiYAvviF79YNgHthcLCQmWgh1/96ldlMGPH8oMOOqg599xzy6aNZgy0OxFvYFBIBkmreU3c4AY3mDjllFO6kOFy2mmnTbSZXNIVR6tta226GJO0mTxxwAEHTPz3v//tQhaetpOdOOyww7qzhec///nPxH777Tfxohe9qAuZRF45WoWkC5mY+Ne//jWx9957T7zsZS/rQgZDq/BMtMrsxOte97ouZBL3X3311Zcqxxvf+MYTr3zlK7sY40fbEE+0FX6pZ95kk01KXvgu+NjHPjbRjnAmWmWtCxkN/vSnP5WyfO1rX9uFjA6vfvWrJ9pBxsRf/vKXLmRioh2oLJH1muOPP36iHUlO/POf/+xCRpunP/3pE09+8pO7s9GmHbxO7LvvvhMvfvGLu5BJohxahaQLmZj4xz/+MfHYxz520dT5n//85xO777576YMWA5dffnlpRy644IIuZGKiHeSUctDu1O3QKqusMvGzn/2sizU4Bq6QPPrRjy4PcNlll3Uhw2Xrrbee2GKLLUrmxXHd6153qUZHRxwV4Dvf+U4XurC0o+AlafjrX//ahS4sn/zkJ5ekoSbCaoXkgx/8YN+4c+Xkk08u17z+9a/fhUwirNXKlypH6dHhjSvve9/7ynPXz7zbbruVsFohCSWlHcF0IaPBG97whpIuA4BRox2Bl7Sdd955XcjUCkmEXXLJJV3I6EIuIr2U+1Hn/PPPX5LemgirFZL3vOc9JUzZLQaOOOKIkt4111yzCxltdtlll5LeO97xjl3I/xQSimDdDgl76Utf2sUaHHOesuEIxqwTeP9GO/porrjiipGY9+P/0SoZTatVdyFNc/vb3778D7Mg6myowxeSSMOw74+p8maY8Bkx/xm0ymbzzGc+s0zLjSOmD0wXcrAOTFV5Zw+ijEZBdvsxqulCv7TNRP5H7Tn6EeldTGnF8vJ8sZYDFmt6I6xVVsqL9AJ9KIdY/peDZM4KCb8M+3UEFBRe/l6ONgpY7WPHylog6qVNyeKBgls7WumwvdGWT8k4YkWYJdGWngc84q3ASZIkWSg4ztcLO7RDBoeD3odkoE6tMFqloFiuNQpLZTkCatjrUaaOjRVHZzZbLHniTGm5qReY1XuvDBvOSJdeemnxnD755JO70OEjn7zqmlBzHF4RuTjiiCOac845ZykHN85W++23X3PCCSd0IeOFvTE49tab8+24445FBpXzimDZNoshS8t8W5a8uMsKKPsdWEo/m9cCzBZLFrfYYouyhNxmT1YNzBZtFic9TnuHH354FzpzKMh3vvOdi1O/bQZqp+yFwhYHVgtq1j/96U8vsQYvJJaaW65vNZ7VXxwlZ4vdm71nxXL2FVlMYNXeAQccUJa8s9bPZnPMQfGOd7yjefazn13Sr84NAytN3/CGN5TVS1Y1rggGRSwhYZmFAT7HWIsPBsnAFRK7vtnPw2vUfR42GiZLSI866qgupGme/vSnlxe6WaHB03g270JR4a24kW1vectbyrTBqKARsCLDrqd2mx0VLEO13wshJhuzUUi8Ot/qGmXmLcz10lcrpnR4NrEbR7xgjwKhQQnIrYbe6ETHR8GbDWRDx0tR9zLD+cQGd6ZKLb3XGMaWAPMBq9H97ne/orzpyB71qEd13ywf8kXO5IvPL3vZy8pr1Sm/s3ljshVj9i/RNrDaSc9CQx50xDj99NOXWTa/EKjjBhCglJp2nCmbbLJJeWHmy1/+8lIG3AEsgbeJYr1PzPKw8Ze2guxJz2xesDooTjrppNJmGQB/6UtfGsq0DYXINgny1NYWs2GrrbYq+3NRsg3ADWICn63WoawMkoErJCq0xsHbfzUMw0bDS5PzP7C9tvmwJz7xiaWRXGWVVYp/QqBhUhD1iM6mUw6CbYdQ2eZ7y2D93iFcg2jDLt8TxFoIdSDOYx8Pn8X1G/eLuH4rrspU7/khzHfuFTh3Db+N6/k+0jBV3Pq6EVcaAmkihLOJK72e2fcQF8J89r3r+d7/iOv6ng3KQbjDbqXSb/mrESt/oL333rvEgw7PcrRxVkh0agcffHAXMvmeJaM9CgllJTY+C5nsVz4RLs8dPstXZdYbt7csg37XXV7cKFffuW+/uFHu9XUjXSEjgbjCanmMuK4rPQ7fC0e/uK4pvoO8qdf2edEAmx4z0KDo6khZXuq02UDK7/2uru+QNufuIX99Xz9v5H3kjfMg4tbpnS6u8zpdddxIj8/yrN91pdPv47p+2y+usHiewLlr+K24zhFpiGf3vWeX7xHX/8g71673qnLuO4Mqm3BZZmqw6FAPaoXWNfUzMR0f6Yw0uK+wKOtIg8/+x28wE5nuF1c88fvFdf06DZAucR1BxK3z3HVnE1ca3MN3QZSP3/emIcpBmPwm056r7u/krcG8cqCQOLchZcBX1J4lg95OYKAKCScXJkJ+G6wjrCTDRqZKF9O+0aVtcjXkoZAosMMOO2wpLd7I8S53uUuz++67dyFNMX/aRpfmX4/wKV0KRWXRgdjzwR4bP/vZz4r2GBWWANDU7SvBLBwCR/M3CrNJTQgfIbNFu9FCvc7b1JNnqS1PhI35nkmt3qSGJcc8Xz1K0/AyoYpbOyPxqeH3w9QbUAZ0etKw0UYbdaGTW5Tbq6UWRGZyIzPPxjyrgnheZkrfMetFGGXPNaTVhlTylJIXFcdmOyqAkby0mqaRbhYSZaezeNrTnlZGsUceeWSxVo2SNWiQkCdywcJHFg888MBiaWDV80JBOylqkHWayu/ud7/7krKspwt87xrKPMpSWdhxlxWgLksNj+nNKMtAWSo78h1oyEzFRFkGTOTagNp6aHQrbeS5NsHbV4a811Of0kR+zU8b2QVedU5OyEdgmsR+CPKC7ATyR2NbWwhiB9vNN9+8NL7qDYWWossXToPrfqYLKCQaaVON9bSHDRY9r7zRvmlL1DP13buHtANRt5WfZ5W2CBPP4cWj9duYlas2yOsqAmkVV/2pFQJ1Rr2s5++1I+LaTC86LHVOuyW9dTsirjZK2xBtjg7MiJeM9LY5rqs+BpQJI35xyUnUbWVGmSCzEUb2lFu0Odo1skmWyJQphUCYNtogT0eobLR3fs/6K+8D1ihTIjZWlM/aCPlP9rRd6oL7w3XJurSytsB32iy/EzfQttm3isWs3hhPW6gM9QuBgZL8iVeMBGSP7EhPoM7Kd76VtZwaUJCZWk5ZhZSPaZa6rzGwpsCZmgzkNzkJ2QtM95Ll2pcz5NQzKB/p1K6a3lenbAIauJd6qf0lq/JN/3D66acXi7f4FJLYvHFQ/E/VGgAeIirDqL2B1W6XBEJB1RBMmngtaHxgFORznvOcLmTy7YYqtxf21btemjawhTdUaIWmsGn1FJLQOgkzhYRjkEYs0BCodApWh6wRJQgqmUanVhJUbnF7FQeNg0anDtdZqLR1mIqpXDQ4talNZ6Fhr+PqFFRYjV7dsWjUXVvcGNWJq3HR8Nb56P4qfFxXHqhAKrxOwYhU40pmVDLx6y2idRT1ey3gXJxxfH/NVOisNPb8EuoOWoems5SnFD/5XJdlNMgaWR2/hrMuS42kxl9csuV6ypeSIW6tJCgbSkaUJdxXQx9lGWggyXAdl9xqvJVz3cFTJmoZgTB1VSNdd9DuRd7E9RudNFlyP3VQhxPomCi6UdfInueKBpkll0LCj4xZvR/yzwaPdrAM+CtFvSS7/lOcNfY6troT09Y4r+u7NlJcfmjh10D+Ne6Uujof3F9cSmDtA6EdoVjWceW3Nkc7EsqLdojsaHPquNoZeSYsFBL5Kb29bY72RZ4Jcw/5KK6OVJtTK75kUGda/548hvMjxSraSIMSZVe3seSJktEPeVHHdU2dI785n7Wbriu/PJ88D/mXL+oP2at3giVj8LuQf20L+ROv7sylVX7Wz+aa4pN9CkxAzlyrjut51QEdOcUsUC8pHXVcA4KQ03pQQM4oM3V6KWuej9JQK/r6BG1FLf9eySF/tAHabn0BtwW7Xvf2dywgrlFjQCgfXGe++J89aADQfgklPLCMGhW8B8ToWgHMBwrVfJ3GJSo5Z04CJyxMZr5zHkdUGp9ta6/RjTD4HEdQhy0vfKZh6BfeLww+a5SMEuPZ/J/q2RwaUvmBiKuRmo3DmV1Z7VY6ro6s/WDJ46hZv3SwRofDylHnud1cNWrCZiJ7OmUdQoT533tEuLqtgQt64zn6hU8VhuWFRXh8NnWlQZ1K9iBenKtbGmNh4mrY605ktuhEKBWuHfVdA65TnyoNdVyftQ8sV+IEPscR+KwzDDN8MFXc5YUHdViE94bV4TpKA4KZyJND+xAv44y48ix2GB4UOu3aMgRWLgMlYVPJSDyftIlPOa+ftz4CnylkNdPF7Q1Db3h9XodjqjA7plJypno2iBfnLE6xC7m4FNrZOguzjGiHWA3ni/+V4AAwYoiGSiYYDdRLhYaJ0VM9Fx+o6DrVemRuJGBEWL/3hrVAuC3m6wrl90Yb4oalhKAI1+jRhoU7hxFTxIMO2ndMbiqQV/ETePlo1FS/XTcaMw6iQeS3zp4FJ5D/rtsb1zU05hydAiMqo4reuATX85pfD8TVMIobzqZhgoxnDYzo3S/CjGSMuGAkJpwliNZttO656zzX4US+Be7ppX8rE8qS+boXeaOTVSZGXvKTHICSp8MlV7aUF1cjVJePDhHCTANqbJSXcretf22dcg/yzzcMIYvSppzrcou4tTxBXM6GdeMqLlnrlT3hplHquEbBEZeJ3IvYPL8wz1pbaTyD+PG8LGrkVFxWFyNCz8CCIK2OXuQZBaPugNQTskqWmc9dnyLnutoF1tO4p7RHnEBbIa7ROrM+5Vo5CNPh15ZlYa5hRWAgzcKNUrWvQdQTCnvkmXgOz8AyEcQ1TIH0xpUf2p1APgqX52TKgI71QBhFoH42vxMeYZ5VfgkzHSVcuj0nS4p2pJYb7Z+wXjybo47LuiEuq0FY+VyfJTzKXhlrZ0Juos0JyBhLA0sEi3GsTBTutSe17AlDyD98L1xnX8cl59LQT6Yp/r1xTZP2i6svqOO6pjwVl/XjEY94RLHyic9KWVte/I6FMJ7X57CuslCGlV9fQPbJcJ2/LC+9ZaHe1BbL+WBgPiQST2CNniBDzPXXm6kMg/AhkcGBaZTwIVHI5t5C4KASOeo5OeZqwuO5/A/E88z1KJ+VSCWQJ67rHuh3XcIojkYiGsZo7DWEtaORc41YfA/3cC4NTHiBihbXDaaK67pRiYKIK72eJfBb8Ry+kx55Eo1G73VdQxy4psNvPae4zl2HGIoXceH37m2uNnxIVJxAB7sy+JDUnaU3VocPCR8AnUDIrnKQn8pSfpId+R9yRSZq2RVXfkfZhXzHd73l7vsor5AX1xdW1x/nrtNPnqSjLuN4tn5xI01BHdezhNy5XqQp8PzO4xmknzJM5uJZ/NY1/JYCZvpBox0+JH7bm15IX6Q38tzzS5OGP9LhutFuBOK6XtQjv/db9xG/Xx1WD6RVfN/7LKxuG+LZ6jyTBw736r2uNMhj90fkee91pV8++M51XN8hXc7rvHGuHYwwz2R61++jfKQHkWdxDp+lxz1rHxJTIN4kL34Q+ei6vWUR5yH/wqS5V/6lz/fwvetJg7A6H+EaEO6ekX/Txa3DIp394rpnbz6KM1VcYdG2hnxG/gbywhHl7tmjPa2vX5d/nQbn/HYoKeFDUg9MPYu2Z9A+JANTSJgeNZ4EMKCdGUkMk+UpJArEvCX/h2DnnXcu+z3Uq4RM+VidY9RWz+PrFKzgqV9VLt4ZZ5xR8sN8nYJV+OJaJXLooYd2MZsyjaTyPfaxjy3afjRgRgBGXLWzlBGEo9ZSCSTTvJFYb1zzt7VZmpAZUbIyhFUDOnzlZk44ILRGMa4rfsA/gRLF4kTAKVemXQgu/xpOZgEHYPOxRtA45ZRTym9Z0qyakc+BZWSuXb+Q0Qj9da97XflNKiST1AqJkaoysItiwEJibtuIlExqTFj7OMSSxdrRjpVM3SAjzLnRoPEjUebKPlA2GrXa4une0iJu7XwnTANZO4qTa3JG7nTagXuRyzquzlV6yH+tvHsOjTBfC/5Q6i4ZYGHTYfkcmN5ybioV6rL6oF7Jw9oJlwJC7vo5tYpb+6YY4UprveKAv0r4VJizD5O23xqVa0sC7aF6zkISU2Q6cfVE3tR1WB4Y/Rv5RicL5SudtaVW3oorDfIImnZ+O67Zrx3h1xEdkvaJlbg3Da4rHdoc9dA1PT+LMdlyBKwrHJdjvwr11WfPRvZq60RYpeVz4PqmIqStVkjIuja0toySR+0DywbrQMCi6/c6Xqvv+MspH9Pp4tZtp3sZPMpL/3Xe5Nbzyod6kKkt9Oy1/6D0ynNxe+VUXQoHWri+uPK2VvjCwllPn2iLybd01YqkvPBbVnbXUnbKgjxYbl6XG/87vkdeyoknP/nJ5b+4HOTrNp1lVP9XL4CQZ+ROP7aQCsn/VKo5wnSk0akxHaExrSvTqKHyct6rnTEVNGGoHY2YPYUr5FoohfU6o+lwoRCZDX2nwoMA1XFt4EPQCbHGnsDJMw2nNNSVLVZF1E6BFAe+OuHNH3AyJbR1XOWjEZSuWlEhfCpXHde5jsWz1YqKefI6rs+EXJrjWYMYLUaYBkRFk+d+X8dV+aW3DtPRJFOjXmks6n1K9tlnn9LQKzPKh/zUISgHSm80TKBIMwHr2HTeGnGNoU6IjOtMAx0pxaGWER28xptM18oAhaJXnsit8iXjdf1xv97rkjvh4taNuqkn9U1nDnFckzxRvuoGVcekkwh5kkb1XAfwrGc9a6nVQkzj/XAvinLt1EpxIed1nlNgDHhYWOR73FO6lEEd194Upi3UDQpldGTKTDnU+aBeeUadqLIJhOt8etsGdUvaQrHU5lBIdGDCA0qDcvP7UF6UAVnojWt6RdxIl7IVV5tFfmpHSEqvOhvP7zl1xDrSRz/60cViHjhXFnXeaJtiGrFGOUhnHZc8moaz54oVlIGpR4oyJUHd4BgtPxym+Nw3kD7tpLaTckYxoOjIR7JXK63kzDPX5UOZ9nw67lqhIOuuVcf1bOJSbmvFgaxr++q48kX9IUueI5CPlOSQf+mUXnljM7/aYZdC57dRFtInL8iZaae6/ae86P/q/O3n1LogtJk8ELytsa1QE21BlpcJtZrpRJsJE22F6GIMh0c84hETbWZ3Z5O0WueStxG3hbnMiwB97w2UNd4w2TYe5SV4NW2nMHHooYd2Z5PIi1Ygy9tw3/GOd5SwtsNmiZo48sgjy3nw3Oc+t7wsqm2oupCJ8nK9tgKVNxDXHH744eUaNa1AlvT2vuioHV2Uty7XtIrLRCv8E695zWu6kEm8OEl4TduwlJfXtSPMLmSSVhNf6oVXaDvBkoZWsLuQSdqR4UTb+XRnExNHHXVUeQup37/3ve/tQie5173uNdFW1u5sEnknz9E2ZktdC20nM9F2RN3Z+PHZz362yGfNAx/4wIm2Yy2ft9pqq4lHPepR5XNA5uTZDjvsMNGOQkuYOrjGGmuUl93VPPKRjyxy5m3BQTvyLfW37aS7kEke8IAHTLQNdHc2Sdugl7L00rOatmMuL/yraUdTE21DPPGhD32oC5mk7TQm2g6wO5uk7WhKXC9eq2kb4ol2lN2dTbLtttuWtz5/6lOf6kIm0f60Skd3NlHe7EuGXLcdPHWhk7Sd/cTZZ59dXkYnP+LZ1Z86b9AOEiba0Xp3Nom2RF05+OCDy5uBA+nystGa1772teW66nKNNLQdenc2iWu1A5SJtuPrQibRXvS+FfyYY44p120VmC5k8k264rZKQxcyybOf/ewS7vug7dzK73vf9N0qZMvI4POe97ySTy9/+cu7kEm8Ld1zBCeeeGJ54aN8qNs3kFsyWdMOypbU8Xe9613lWr/61a/K22fdr+byyy+faDvcidNPP70LmYTcaxfazrnIMtrBZCn3M888s5wHZEc7TY6DdjBZ4n7kIx/pQiYhd65ZQzbE/cQnPtGFTNIODCfufve7d2eTeBmpuOp0TavMlPpS0yoTpV7V6UKrnJf6X9MqUqXtbgeVXcgk6nCrMHZnk20xmZHnvX0yGdOG17zlLW+ZaBW48ll786AHPah8DsjE5z73ue5scPzPwWCO0NBohm3FLpq3URkNstbEVjZo2TECWh5thes+LT5mmnYWn3oaIJk/wmlyJsw03igyU+trODfOJ+S7HtFOx8pQ303j1VaGhaTeW2Q62j5wUZfFTOVfn7wYnnPgO7Xy/Gaaqz3Ah8lMnFqZKevGKqYVmFUDYWBeq4UgTMb1HDpTNjOjg+nOPKBsjrh1pyyMidHvpQviuh+Taz3Xx3zru/i964vDFCi8bgyFmUapf++cKRB1GvrFNZdqisc96meLuHWYtAqTh7UCxrwrfXEv9xYP8lBeBr7zDHWeuxfzsOunD8kktQ+Jpb58t3SEgTyP+OSJ/ClL4cqyzl95LrwduS1RSiJur0yLqyzrsHCUU5a95a4slW/Ug4grPSHn6Ffu5E65a0DruOTBtWq5Mb0kjOz1xq1lLOqT5/KsdX03cLI6w5SPvKydWqWrvq462Pu87gXP4drxnbrdL648Fq+ug9oMz9vb5kTeuA6cu65nrssiwiKuz+K6Buq6La7vhIkHeRPtS92ORBrq33sGZSS9dXjISISJo8zjHsuTJ3Ir3D1rHxL+Kr1+P6aqXVt59rYjID+uLY1kT3z5UpclORVfmUdnHXGVz/Jkz2+l2W+18YG40qXc/cbhXsqdTNVx5Xm/Z5A36kotp/3iagtCxsQPxJWuiEu+XFOYa0Z9h/wWXsupNMhzvlgL6UOy0iskCtiSyboh4PuiUtZz6Ob1NH7m+uqC1yFo0Ou45mIJAEFXcJbHyWZxFXTMuRMMviLmAaXBdxxUVTTCQ4DdSwUJpDeENcJDuChWKqFncU1zv64biG9JsnjSII60yx8CXDs8akzMB8ez+l66QHhV+BppkN5AOoVJS8x5yhdhLGkEvPYPYFHz+3penM+AzkIDmgrJJLVCwieCTJGxgJzFOZ8i5auR5ScUCqaygc8aodrZkAySSTJCfsnQ2muvXconGmVyEGnqlU/EPfwnJ3EurrqnYyGnzvlDSHPt/2SeWyNpbt69A/LoWnwqNPDkl7Oh+/drxtQ7vgGwUoPcub98qPPMs9hjgWNsrZCQVemv45J98ev7OdfJyGftQLQFOtJ6cOIQV50g53WHF20OqyqZlw75EEqNZ4z65Tzyv0ba3CPixbm0qe/u657qu7zQNvge0qmM3bd24tUeaff4GCh3v5M++S8N0R4FlKyQJ20mWdLO+W2dj+h9DnlKJpRPrZDwF3ngAx+41O/d03P1lqXnce5a2mrpIUtkp1f+/Zcn9S6p8ts9lYO8IvOuwRfHM/v98uTf/aVP3PjvXvLB/fhz+E++tMeuUc8kxL045IoX8HdxDXGlS7loI+t2t8YzhP+fPNSGyzPpjzxAbxnCOR8h9WIhFRIFN1DMz5qbGxWm8iHhu2HetRWWefMhMR8bPiOtABf/D3N1wsxztp1NuaY0tMJfPvvPn8J1d9lllzKfbY7aYR7fNXw+44wzyrxs21GXuV/zk/63jVqZs20bljLPZ+7woIMOKr4grVAu5UPysIc9bOKcc85Z4kPSNoATp512Wnl21/EM8kK6lKnnbJWWMg8ZaXLwdRG2++67lzlcv3P/dqS0lN8B/5MTTjhhVj4k7v/CF75wYv/9908fkhZzyOazjz322Im2YZrSh0SZhy+EOWPlqzzMQ7cN7ETbqRd5EVYTPiSuqwxbxaSUJ7n0X/mTj+OOO674BLlW23kvJQ9tZ1vu87a3vW3iVa96VZm73nrrrUu6PI/rtg1riSPMuTpzySWXTLSNe/FbIE/t6KxL1cRE25kU+VDm5ufJuGci92SEbxJ5iTSQldqHZJtttil+VuL3+pB4Lvnl920nXvKWzPk8Gx8Sz3DIIYd0oRMlfeoRefefr0zkZdvpdbEmkR/aA35B7qFshGkH+MOoW+rZ61//+tJetMrTkmd1SJP0tspU8d141rOeVcK0F8Llp/TIF3knXBt41llnTbSd28R5551XyuaZz3xml6KJibZTKn5G7sePwDOSDdeSLtc//fTTl6Rh++23X8qH5KlPfWppA91vpj4kZEK7rKxciwy3A8dyv5rl+ZBo284999wSxofEvaTf8ysPdUcey9saPiS+32uvvcpvQlbJmEM+8PXh3+P55Ic2uC4L9+fb4bN+g2y2Sk8pd8/hGaONdG1+l2TnS1/60kSrAE/sueee5d61X1SrVJV0ua665FlcL66hLqpvkQZlXfuQtIpJkWvXnakPifbab7Q3i86HZLFhsyGvX2/zoAsZPK3QFO28huZvWTANmBdzW7AlnCXHihsac7yzoRWeoiG3wlVGT0aEaAWwjNyEGS26htGdJYm2vTey8J1no8W6JwsDTdco7vnPf37Rso2uLUOO98UYKVitwBJhdNlWnrLCoBXwsjrDFIF7Rxrco+1QyqiKRm0U5bdG8G2DU7T4GnnhWWaD9LaVtewTkUxiVZV3gBjRTgW5Ye0IyIglgDzp20a5jALJh1FT26iWEbsRmREP2bRU22iRHFgyyYKh7NQbZRuWB7QNdZGHOEKmxWdpsTun0ZZw7x9S76xeMRInN+SCzFtKq860ikGRRxZMcirMtaQ5RoVtZ1jkwhJb92QJajuY8gzu1TayJQ2BvJDOfqhLVhqoN/LEM7q28NmgLtR5bmRsabvVZeoWa4NrGlGrt/LQZm7yQZi6agWM61jiauMrVg67ElvBIq5ztB3aUnke4T63HVeJa1t8abAk1DOxXEtHjO5ZiduOt+SdMvXs5EO6yIhraRuEs9ZYsaEd8R4p94s8FtdzKqsaeTHb+q6NIx/e9uu+NrNksSIns6FX/smGdsymYtotZeH6/mu/ohxsW6Dd4gvJosLCYMk4q57nlC5ttbh+j7ocHJDv5LZVPspyY/KqPfVsXjeifFkAXYPFibzJX+n2hmTtnjKRp8KkmRXLakx5pEylhYyQBfXMvZWdlUQhD4G8iLTNFOnQzrjnQrHSKiSEYb6hUPQqJBpljaqOgCAROMJLOWGO1yHEUjpmXBWDqcwa/5h2srbffhMaMDu5EmoNmb1AfMc8RwBdV4PgHhoipmT319gzpep4xHPuGkyJzH86qBBe0yyW4lnK7H5M+Bo095ceO/3Zg8E1NBymZ3RermMZmjQEK6KQBCpcMokGCr2NTo18rhVCDbrGWJiGNlA+zpnXdTohN5Z+2l/GlIr9SjTcftuO+IrCQMn1in3XJXvkIQ7xlD/5IDdkhCyTEdeitJIppuno2Cizpgw1/GRRGsgZOZU+nSaZpFSYqtK4S5tpEWlgzrYMlImZDIbyHkjTVA2yOuFQX0GpWRE8R53nnsNzUvw9u2eKZwOF0lRaTENS/ij92gZLUu3VIR8pDvYrssvtM5/5zHINz1fnubITLp/luXw2bR5h9k+yFNrUVXTuOmGDFO2CDhvyXLpMzcgPypH0Uip1sO6jvruueNobbRSFRDslPJAXfj8booxi2ktbFOUzG3rlXz4eddRRRSF0eKY4tEuUfAqvcnIvbRc5I1+Uc/lhetDeJpRXgz/1QF7K37osKJdkVhkqC3LpOq5tYCW/1AmyTY7ls31alIc2WBlIl+uI43eUJnVFfsaUmPy33FsaXJ+s8YWilFBoauSF/mY2RDsz2zKcC1O3aGOOTbu8OEtHZwSjYQgIBOHU6Abm7AmyAqetBoRBw1rHpRC4hv8aSt9FI2DjJI0rIdcIaHx8Z408nwgCSgCda1hp4wGlhZATVJox/F4jrAOJMLz97W8vlgqjGRquRs8zqXjmFnUwMDLWyBNo+UHz1wgYhVo5RfjrDcw0ripmbAylE3EtypBRAJ8HCpdn99+zRN7o9GwKJR8pUvIooOioxHU+2vtF2lzfCEKDnEyu5tDZG1H1yqlz+aqz1gj7zghMmLLUsZEHSiqFVJnolISRR52qsicDypI8QgdBOTVSD9QZvyd79VwyOdUgRsMJDafOxjU1voE3a5NhjT+50pEY4bMUapxdOxphdYY82E8lkF4dJH+B8FXSedprxIgy8kaHQnbliY5T/tToXFgD1cHDDjus1DsjYh2K3wbqnvyp81zHT6bJvOvGd/KcJcRI034e0qp+aRMo7fJWh6NDomDoMJSFNHgNxI477ljqFSsmZQDub0MvMlBvzqZTdQ8daViCon4J42sVUE60eRRObYSOR5uk3ChF8t3zyEflwJeJtSVgOXMNzxBp4OOhs1bn4/kpqtpK19Ju1XlGboTXYdoA5a++sxazjshTe1wp8zouWVSWtsSvlRX5qM1xDf/lOf8RyAfy7946/7A22JNGOchTMkoO5QflUB7KE7KknbbvSaAto8BTpl0voGy4r7IMyKgBnXwi04ENIpU/+VZPlYW6R46kQT3134CSEmQgrZ0O3F8ekX/tOtQllizPJ8+kW30UT56zerHcBJ6xtx0h0zZQM+io2//5JlfZtI2C8xghQAER9qjY0FlGnHpkqoAddVxC4tx1aLrxO/E0KBpYAqIiCVMJxIuKRYAcETfwG/EUmcYrfo/euNIrTnQoiLjxXaRNxfVMvc/l+0hfEHH7Xdfz1nFp5fIhriuN0tzvuvLbd/V13cvvdQgqmJF1OrUuu3V8r+zKb/Ijf30WRmaUu/z1HfzO5yg3/4WJG2FQVsqnV56UZy2PgbjCa3mKNLjf8uJSlCIddVzpEFY/b8hUb7hndc0Icx7P4De9aaM09Ns63j3ruCG7vfIvLnn1P/LNdT2LuNLnkFbXE07JUKfVW9dwRDvis++0TX4XafDZc7i27wJ1rV9c8fq1DfJFujwPoj1y7dqKGXHrPJA2iNubBs8eeS4/HP3y3DWEhywG0uCeOsdwao2t4/v9vl9ZRn7LS5/FdR4y4Z6eO34f8ieO+zsPOY08jOvW95JnwlDLXuRPHVc+RLp64/bWCbIR5/U14jnq38d1Ucd1DedxHedT5ZnnVZZ1mOc1LWQQQLGiwOQqmwGwPIWEANoWnqUgoBnT/I3KA9op7Zp2WU8fGO2Z62MODOxyx0LhxVnm+ezuSOjEVYCvf/3rm+c+97llRLLbbrsVnxKafgiPiqOzOeigg5baZt48sIpq1LHHHnuUeXiau5Edi4oKHDDPG0m5R0ADp/USTs8epkNzmkyNOsBAntkB0Xbw9e6GTMZhig9o8+7vu7DSGNl5do1bbCVtJCJP+BHwS6i3PNcB6Gh1DIG8Nn9OwUuFZJJaIQl/AGUaGFkagRtda7jMWbOKGWGyqNifgSySwVCMjcqMqozKyaKy4EvEFwNGd6wGRnLkJdBRkEFTjHVZkgVWhNrvh8ywSrK62U0z4ANC3lkeQe7sNqtxJMOUhCDmxo3OA2n2jOQk9p5gjXENo1bPI49YA7QFZFGdIzuBaaipto6Xt7W/jBewGaVG3sCzaZzVQ3mlEYf89luvyAcLnzqoYzCqNqL13EztfsvCyGIEI3d1SfOsTFmNAs+pPFmBAv4RphLUy1A+3EedY9VSfoHXMWjPtNHyUwel86H4KzttQyBv1DsWjkA8z8SCoY1CtFk6t2j7jeQ9JzmQFywugXqu3SBnAYVG+xZWllBI5K+80WYErBjStcMOOyy1OlCY31tBxLrguU2paD/IHSuazteOuRRCSov20DVYg8ic+/DFU/egfJwrd9cP1E/lxQotnwMyo90744wzupDJrfJdW1slTwI+KxtuuGHZvh2RVvDnYdUJWCqkP14CCO2svoyFz/OCZVm7rQ1QL8iSPoovC8s0a1ctT/oV9yGDgTxnKTv99NMXVCEh8ANlsayy4YmMViGZt1U2PMF5N6NtFCl+ZZUC7ELZNgZlRYFrtB1DCUfbAZfveNXXxE6tnqcV+Inf//73s96ptR3BlGuIzxMdscqmZjY7tX7zm98sHu+xU2vbEBZv8LajK6sa0GryJT2tglR+P9NVNvIcrZKbq2xarLJplYfyue1wp1xl0zboZaUAeNW3ysRSO7XyoicHa665Zim3tkEq92o71BIWK3QCq3LaBqo7m6TtpIqMtA1iFzLJXHZqtVqgVTJL3Jns1GolhbitQt2FTJSVLuQxVtn88Y9/LM/fKh0l7nzt1PrJT36yrN4IyH+9U6tyaDvsUl/FbQc25X7SLg29O7UqW+GtEtOFTOIa6myNlSnS++cV2KlVmVgh4/dWxdRon3plsFUGysqMdsDRhUyUPLNaRHqD29/+9uU55cNC79RKJrUZ6LdTq7aV/Gufte2tAlOe3+7G4rYKUxdzEitjPE8N2VBXetuy285hp9ZWES4rXrSR6leNNKj/NfJdGuqdWq2uUT7+o1X8SntshZY8n+kqm1Y5LZ+1N7nKZgwwoux1ajUaAW29LdQyrz1bjEpZSWJUORuMmsCyYoQ9H/BpMf8OIybIB/mRLAxGaCxLAbkzeg+MhI0OWQ9YwlgMlJURWj84ekZZ1riuEeSgkEZ+VisK/waWiJgugHyQH/MNy6tRfqCu8esIjGBZYlmo+BHwDdEG1FbBGpYQ30ebUcOiOShYMGpftRXBaJ6F17MF8j2sNQtNr/yzghj1B1YatkpOkX/WBOls+8PitNuPaM96IWO11XAukBdWmtraMlv4zrBckBmWIJDJhZD/QZAKyTyiA+awVxONZKv9F3Md0/tsYX5jNl0RJ89oMJjxwsQ3aJgQmedVsFohYSJNFgbTMHXnqLGtnTOViykKjTLz6yGHHFLCmYCnwu9rpQbtqLI4Lw4CnTfTNkfQFcVUqXpVd+LyQX7MNzq1uhNE74DENEdMzTLNKxcK/FToVEyv9KL+RlsyV0xrcVBdUUxdaOd07p4nGGZH2Cv/2j1Os4EyMHVC/imSlENxYnq5HxYvcH6t8ft6QcRcMEVtasy04Yri7damZJRFtL1kciHkfxCkU2vbGFMcNKyBxky2UBqCcBIyYvE/6BdXRXDu2n5HGMQxz6qB4UUNHTZLhYZMmkKAxHVd39cV2u/d37WjAdDJi+eoRyO14hOIYwTp+kbHvvPc0XhHQwlxVdDe6/aL65lcU3pcTwXwjO7luWLkJP3xO3GlIXANz1/nrfjy0HXSh2SS2ofE/K0GrLY8KR/5SE7kqbJThnxFlEHdMPned8pBPpt7V45kyj2VXSCe8ogGPMJck7yvs87/3mAq3HXqOuVeEL+WyUivuNKovpB56e+NG9eor0vOo96QrZA5ae2VPdf0nL1pU5coBfK616nV70Nm0S8Nrh3n0hPl4VnkRZ3nkQ5In/S6ZsSp64TfwzVqZd491DFhUV+UgTQ44vqeU1zPX9fhSEM8F0WTT4F01GmBMpG/dTmQDYd0ua57u57fun/cS77GPcSt5aku90A6xfO72odEh291Sp0HUQ5TtSMIGRYW7WGdD+4lHeKQC0oetF39ZE++eZ64X1xTOdU+GZGGui0TV1jvM0sDxFWmdXpQx+2XZ9IkbtyPAhxloh5Jr3xw/1ru67S5Lmo5F5/fDt+qdGodIDNRSDix1o06B1OOq/XyLJqxZVQcU2tBtT+IZWH1CIOzFqc+pjcdB4dBgsABj+DUr0nndEqgNYbRkBAgaXDderRo+ZoOWVzaOmdFTk7Cxa0tHkatHOg4kwUaF2mACsR8rPIxE2qUauGSJtNJHO9iTwBwmCT0tVlRA2J0a0mj62g4fGbKdH0OhRpe5eBanCFtOCTNgWXHKka9VM7yPGvtVa5USCapFRJLBeVb3UCpzmQM5JxsK0typpGp40Kek3VyTZ5cT11QfrGMEMqM8kxGOceBHIivATa9EB0ZWRBWl6Xfkh0yWr+TxFJEjb864ntKkSWMZFqdqh3IyaP718uJ5YW6QJbJt2vAc5EPzopkT/0XpjORD9HgQ1pjL41ep1ZEvYS87W0ydSraBNdxXWXmPwdCnUyd5+K4nu85HSobbYiy4txYtyPaHHVAurUZkWbxfa7LKNocZROdjXSKKx/qdkRc9UjbwGpAljiHWl5ramKqNieQfxRh6dVRRVsvnZ5DWpWpaSX/pdV3vXIqH3rzUlx5Uiskyp3TdP171/Wcrlt3rnBddUbbQ66j/MlH3ekqS8/iOciUNlN743fygFNnQE5D8QznaQqMvJReeRnXdi9pqp1tOeEqT7Jtuj2Qj2RHXM8pjcrV1JEp9VoJE5eyUTu6qrPySPrVHXUB8kUb637SqZ56VvIfMlhTtxuQv5yquQWkU+sAGaZTa9sIF2fAVtCXOLW2jX0XaxIOfMIvvvjiLmT5Tq3gJNUKbnEsk96ZOrVKL2cwjoStIlLCB+XUevLJJ5fv2gpQnHRbAV/ipHbeeecVZ8B0ap05c3FqbRvWJdtic2JrG72JtvEo50GrrBfZaTuRLmSilDkZ6XVqfcADHlCc6sgJ+UTbQJay5MDXNlwlDCvq1Mqpk0Pgxz/+8RJ3Nk6t6o/84ADZKgilnoRT64UXXlic8ubbqfW73/1uySOOmFAOwms4WwqXvmhL5JdzZVdje3Jl03aqSzntqlfqi+3hgxV1aj3nnHNKW9Uqlyvk1HrQQQeV7cUhb6PN0fa1HfvET37yk6E4tbZK0pJ+iFOr9O62227lPPC98uFcDG209Dt6nVrJHTn1TG1nXcLIhmfmEN4qfiUMZHhFnFq9KoTMckhXr9SvGrI1lVOrPoxTsd+QK+UbTq1nnHFG6c/SqTUpGm49j0xzrQmrRluxlxktTAfNl8YeI8KZQnM3YvDbVhC70MFgNMYiZZTpmd0rcC4vkoWBuZZlKWgbqGVkD0ZnRmVGULAc3eion2+Ta7BE9M6Zs3jEyGwukA9yuSLwPWGhYUFilZDWIMzXC0FvvtfWrcDoVDyWGLSdb/nPUtkPy5dr51gYxRvNz5W2k+ybxplg5M0hlkUcrhP5vpB53o/ecgALQS9kjmWBZVe5cPb2HL35De0Z6yGLRA0LyyDKQprJ7orAeszKyHrTe41hl8VsSIVknlmeQgIVgenNvh0zxZp41+11sloeTG1gQtQRDQrKlE4h9juQtrgXUiFZWHobNx1FvwZZOAXSHhawH0U7Qiz7WsSceg1Tdq18KHf7fvQ6u64ITNE6htkiDfZxOP7448t5r0LifKEa5DrfpSF8BHphYo/VNUzrOjtKYEyp1hi0mBqoMX1sp9C5YqpAB1y3UTPFVvSc12MKwlRAsJB53o9+8t+vvSPrBmZndHuG2DtFu2XfkV6FBqbU6rIge6Z6TOnMFS4C2uXZIg32yIp3oA1T/ufK0pNvKyFGgxza6gZVBdXR2+AsME+qcTGaMToJ/N7Ipo5rrs81eK+bozU/Xa9EsCmVkSliDt0cpE2jVBpzl36vgaqvG6PYCNMAGK1Kl/TXcc39um4dJi2uu/baa5eGXyXk02G+0jXquPxPXN88eG3pMKctvI4rzMhWvmgkHUYRKornEZc/CV8Tm0b5PW9254FRirnY+rp8KDxD0h9laWRW5xm5VZbm4JWJUbi8lecauzouJVi4EZ4RFqubjo6CTHF2rpFzzj+BQuNa6ouyUyfcw+e6DlBkhNf3Io/u5b0e/D4CviUhIyx3ZEB9EVeHZxlj4D46i/q66o8Gl1LlHg7PSfbIuLh8GcgomfNcVhLVy5vlYz/FgexJg3wK5IE8qtNgLt3v5aG0yHsboglzvzou3zDPJr3yov7Os/FjecUrXlFG4vx+XEPbwRIqrjzwbPw66vqiznkOiiU/ATgX17PW9zH6F06Jc0/122aF4rtOHdd9e9sRyovn0m5IZ3ynHMmKc1u7O7fppOf13LVFVvvg2errkoV+5SBdvWkgF65rIzj3CciWczJKDv1GHXENaaqvQT6UFz8l9WT11VcvyjUlRd7y4bBppM5d2qSBFc4zuabl7u7Fd0RZxbUpMu5X34tfifTarJI/VqCeqFPi+o30ew+RuNrK2lJJ9tTD+rraZ2m1ERwfIAeFSfmSW3EpuSEz8vd973vfUv4x7tvb35HpekC5UKRTa5vplANCGBA8AhFKAwiec4VXd9D94hIyjYK4UEkd4vqu1lbjuiBY4qgY4vuursQh/L5zbfEVn0aBsEZDBOeeSdyAMDr3nTS7tjgaF8/UL27vszkXt9bAoxHxP9LgOVy3Ti+k17m4vgt875p1GqRTXmg40ql1ktqplfOgabJadsV1Lv+hjOP3ZK9uZMRRlsrCZ3IU5SDvhfveNXyOchNHOTpcj0z4r6wgjvNaRiKO7+pyj+tGuetwfY5099ZL9MoIOZOWiBsy5tw9XUc8/8mnelTXYeGsFQYFFIVwapVO6a7T4LqR5sC5OuIeruuz76VDhycNgbjSoCwgz+VT1Bf381t56XrSINz34jlc13V8Dkdi9/EbzxLPJp7D7+u2IdqRuJ52xPVcy3dRjqjbnEAaXbO3fIS7hrjSGzJU500Qv40yhbSKI29qp1bKrn2bevOx33VdTzzXQshuPGcdVxxp9T2kPeQ00i6N8k56XcP3fuc+wuSNuOK5F+KZ6jyTX+7dm2fiOiJdoXSH/NfpdS5u/Xt5FemPuPFcriOu76O8+uWZuPHcgftYZWMpcq6yGSDLU0gUBk/i2nOZtmkb3XoKxWjC5j9GNbV26Xc6Ra9pDqwFZ/LWoegsmbm95ltc0xY01PAd8b1r87BWYdxXkRBM6Yv5WZjfpzUz7YnLS980iREhb3JbYvO6Jzy2aCdMYVWBeK7vmkYCGmEdntGGPLIFt9Gyjp7Qei7bwUt7YFM2FqC6fC0N82p7W+3HNuZGo7H5EMG1bbJpJsJtLwbWIAIf2AeAVcboIFAuRuga21RIJqkVEiM48mub9ECeGRErS1MYth3XaPGY13jWrzgghywKytQW02SQLCgL28GTI9tos6LppFyXMu2zVRnk1P2suGI1sHmaVRpGrcrMNV3DQd5sQEVO6pd1eQWC9EknpNvoVicgruWege3KNbDqAIzUhakrtqCPOmXkbitt+eMZbbXt/uotnwdx65VjZFG8flvHy1uWosA24aZY5FGgLrAAqq/k13/vXjGfr54y/8t7KFN1Qx30Mjpbs6sHpnBMl3lVhI7YKNv29KeffnppP8i9MjQ94nnUdyNraVFnTaOxktoWXhvgWSk7pmT4RZhaCdzXfi0sJVE/1UmdzEEHHVSsJYF6yyIQo3odlT1rbE8uv2LFIBlV3z0nOXFNbazykSb5cZ/qNQDqMkUjtsqH8gyLXq2QaLvlkbQE8iNeiFiv5mIhYhmxrf7znve8YkGWHnkgP+r2lEVAPstXbbD0KEsvvFPOLHZkkG+GOue6npM8W73mt/qDXvnXrlJu9AnOlYVyJ2f6hjq96pHyCj8idZGVQ7low+u48k8fEpYM7aX8pUyQuVi95pm9XkH/QFbIn/pIoSKf7sF3KJBOfV79CgoWH/llD5yFVEg0KgMlV9ksvcrGVtitcC9ZZdMKTVlpErRKxlJbx7s+T/NWeJZsJd0KXHkGYa7x6U9/eomnt2u1Wu9E2zCUrcJjhYO0ejbn+++/f1mFwyNbeNuBl5UIbYNdPMrbBrdcw+qBtgErv28Fv+SDc573VjxYhdC7yqbVvMtKIteNrePBs9uzhtf8AQccUFbNSG+uspkZc1llg7aDLh71jlaRKCtEaqyysVIBZNBqlFaBLV77ZEW9aDuokgby3DaSZVv2IFbZtB1WWWmlTNUT93UNMmllQts4F09+abBFt2uIZ4UHGYxVNmgbziUrHTyHNL7zne+caDuEpVbZkEWybSWB1Qv1KhTPQXZjlU3bwU60ytGCrLKR/1ZJwHPLt3rrd6tshLcdbVlh0XYkJVwa1Pcf//jHZdWKc2XikI/SFmgHDjvssHINq5tc09bv4j7kIQ8peeo5XUN7YbWV+qddahWvUqauoV0JbC0urjxvleCJE088schNvcpGGya98l3+1lvHa+vknXtCfrbK5tBW2cD1WyWnrLJRPtqpGv2UvGkHX+XZW+W8rNaSd1ZvkRPPIK+khTyQpSBW2bTKaKkLyl2eaPccrh9tI/mXD2RSf/HqV7+6rDzcYIMNlqyyAVlxP3Ij/p577lnqldeEtErBklU24mmbpU9da5WQEg55J62xykbZq0NjscrG3Cst1sjKqL8erdUYUSfL0uvU2gr2tA5kbUGXkUArlGV0RHM1QjNnacQAo2bfw6jQZyNJIxlziuZKvXzLtYySaeHu6XvlF9YJIwOjL6NksAAZTfi9efxWqMu+Bsx9RnI0edo7jdzcuhGEUYgRmpFRjfu1DWR3lk6tw4A1IxzzyMh0dZRfkdGUkbR4/nPwaxvcYmkjZ0bH/KJYT8hEjZUg8cI3+8vwJ+K7wTLBgsFvgzyxWBpxstZxxDPSdRhpPfnJTy5+TawERoiuKb4RJzk1CiVzRohGpUZuRvS9eGayHxgd1tOk80md5/Ac9XkNB0nz+6wTzOryyHOpf+qqOt220cX/wosFe52MWRyNalkPjYY9M2slqygrg/jKXR1myVCu6rW667osOF6nz8LI+qq+ssBIj1F221EWy5G4yp11jj+LMor2J5DHyjfwzAuV51PRWxamn/qh7WqVhmJJYOURz+sUWFVYo/l9sHJoO1l7WP7UhRp5GZZF7Zy2krVF2ypvyDpZsMs2yx3Lj/qmbshrbTrrjbqmTOSvKUTWRNYie5N4FnWFlaVVdop10a7EvfTK2yiUxUyZViFhwlLpOfQQVFuV68h6CwMaLhmfLE2vQkL4nfOL0PkTWBWeGVmja1mlRoNAauA1IgSKs1mrMXdXWT5+7/BeEI226SfmN5WCGZ7ZzmcdjevqYFS0QOPi9zoP0yamhjRwKpP0iqvS6RxMgWlQmVaZdj2fw/WDVEgWHo1QXSfJkrKLKR8mX+Vuqs+0iY5KndexmarT+TDvMwvr/LQBtttmFp/tcnMNvuuSpyc96UnluqZPTDkwNXPktMmfaQdmcOnyWfujPkgz50PhOlBOeMzgHMTJnsZfek2ReGayGzhfqAa5N8/VAecUKR2PaRIdm87HuTQzhSsXSgOnRdMpFA2dlPZCp2SgYYpiNqza+Y2YntIGGOhow20tLn90ku5hikvboF2n9FEi1Wuf4w2w0sRfiaNkOMBKP+VH/+AZ6/q+kHk+FXVZeF7y7xkpw2RLm0QhMFXmeUwjmbIkp96Aq6xM3ZB//Zv2zpSJqShK42yQFtc11aPtdQ3lbiCgzTdVacpHOVNSybTpFdNiFHJp1s56HnWHYmKak3Io7ZRWzqyUKXGGJf9zZVofEo2BUQtNER7cjnleI62gajywBo6Aqmy1j8EwWZ4PiVEBq0VdmWQJwa1H+ApaBZcHdbi4wurfR1zXiGv5npBo+P2vv5OeiENohYsT1wk0xr2WiEhPb1wCXacJEVfF9MyBcPethTh+3xtX2iKN8FsWEwqMziCu4z4O4eJKu+t5TmGuWz9L73UhjrzR4KUPySS1D4kRlLl8eRTIX/kuH6NcfBamYfI/rqeclEF8L/+j3HtlrV/5iNuvLEOO+sV1Xf+nQ7pdrzeu69XX9qxx76hX0ij9Psd/1/FffHXEb3wX+J5fCuW99iEJuZ9Jel3XdSKf4vrqZeRrpJlyFmUj34Oon4F0uq7f1uFwrzrP6zbH/RD5H/kZxG/r/Izfycdanvw28hHT1XfXiN9Ks3PfiSt9dRoinyKNiPQYgNU+JAY5Oua6HZqJPEU6pcMzkH/3dA6fo5xq+Z/qunV+IfI18mg6porrenUeQBzPqvynSoP/nkMccZWFcM8Qv4ln8iz+KztxXb+WJ7/znTiBOPpObe5C+pBMq5AYkRiZMxcFTIHMU0xTTKvBYlVIFIYRiNFfYDkXszNHs8CowajM9Efd8dNS5Q/LQaACuSdHLkttfZZnH/3oR0s+GRXShiOu6xqJhEAQDmkQj0YeGJEYzbBSBQSSE6G4tfMd7d5oJkY40NjQvi1JrLeotnRS2an0gUZBZ8eCIn4gH1l3PFtgpGEqh6YfsiKtLCoqDQ959+WIp3JwipVWo+7AiEX6dMCBUYj8kZZUSCapFRJTGiwVdQcSHZ9GyX9yxwKm8dDIkIdoEJWl+lw7mRoxKve6LKEdUM7KMiDbnN/I6PLKkiy4n3piii8gN9JMuQrIIplU/1hPAvmhIYyt60EeyBrLTWwzb3pTfaVcMG0bdbJQuI9njw4q0FGxwvRzanW/Oq5raDPqBp1Mx7k8Z+lk7eHoquyUQTjCs4hyQJU3FJOAdYo8120Oa5X6Ls/rzlg7or7XbY48UF9M80R6pUVcdbhuR6LNYe73LPBcLFO9bVlct54aoFyYjtOGkROQI+XuejG1E9Y26YjOMHA/1HkrHpRHr1Mrua3zK+qE/7Wio2yjfF0vZIX8kknT1EFMP9dvl1a3yJ48qF9toU64Xt0Bs1qwcptW12EH5I3smH4LuD6oqyyEZCzQLnoug/yAlUbeaS9ZUALtvKlQCkKgbMg6ywsnVPgtGSNP6gXrtmeX58qjV37lgbBeOWcZUi8WUiGRyVPCkZADVysgXcgkrUBPtBk4seOOOxanqjYDi+NO23EsGqdWzpAHH3xwcSBqBb77ZhLfD8qp9aKLLiqOVm3FUduKU9Nxxx3XxVzWqRXyuxWOabeOD9qGvqSX02pNW5mLY1NNq6AUx0JOrTWD2jq+dmrdb7/9ihNiOKlx3nL/2Tq1ejbOVdKYTq2TTq2cWTkXyq/pnFo5qnFw48TGmY2T3DXXXFO+Q6usL3FqDWqn1pq2sy6OejW1U2sNJz2O0TVt41UcAD80zdbxQdsxlrgcqWum2zq+dmrlhO251DVIj/tP5dSqru6+++6ljqt36iTHW59n69T6ute9buKpT31qCZff5J7zbsABVXjb0XYhk7Sd9RIn9iC2jm8VtC5kEm0Wp9aaFd06PmiVzfJ7eVdTO7UGHE2lq3ZqVVbqo+fAEUccURyJ2w6zPO9MnVpbxa3I9vOf//xyrVe84hUTj370o0sbWTMTp1Yyy8GZU6ty98za4SCcWmvCqfUjfbaO5+hfUzu11qzo1vEB51j1Sv2qqZ1aA/W016lVmWk3w6lV/WqVlFk7tXJkVRbaG59ryMSCO7Waq2ozscw11tD+aYwcrcwnGwEwGS0mOBSZJ23zoAuZH/r5kJiCoIE6aPOI8zjguzpsurhGCnXYVHE970LENSKtNW55sCI+JEZjluTV2vnKjtGWUbzR0XSwxhltBmQvLAWO2ciT8nXUYRE+6LjizDQNEbcOY+VpO58SDnkgL6bCCNFSY1Zf1+e4qM1zrdnSm+fqANmPtElv7zM4ZvpsDii7Omy6spxN3N48nyqutNZxPWNd35eX51PB0kK2TzzxxHJviynOOuusJemYDcuTf8+AOHdEnvfmw3TlM9O4vWEOYajD4rp1mGOq6/bGna38TwUrvbKordLzTvuAA8FytTZzFo2FxJIpj++YTwuJUZOlX/LGvXbaaadyHb9zGIXR3GmcEeZzHBHmcE3XiHO/c8Q16ri03t7fO3eN3ritsJZr+D6+81k+9MY12nGNOkxc96vjGr3Id1YNzy6sbVRmbSFxbc9shJIWkkkLiVGdPDGCnM5CIm8sLwwLiXx3vSijmZalQ1zyEOe+F9e9euO6Vy3jjohb39/huuRPeHznf4TVcYWJX4eJ03td6TcaDQuJ+ve9731vSgsJ2XewAPk9WZS/jtlaSNzDiB7SagRc54/P8rz32eI56jBxWS0ibuR5lH1vXP/r60Zc14gwh3PhflP/zhHncbhPb5h4rlGH+8wqFhYS7SfrxWwtJOJKm7KTT+p43KNmJhaSSENYSHrbRPeajZw6Io7n9X8qOfVsddhU15UmcYXHd67dL67613tdcXufi8XE78NC4tyy4dlaSLx0UFlobxbKQvI/lXaOmNNcTPB0js2AzFeaywtonTyW20rUhfxve2hWlXqkT3PnN1PHZT1yDRvbGH3xnI/vaZv8J3i6w0oD3tRWrbSNYgkzJ220Zk67nru1LNDcLQ9w2IiM97xri1f7gPC34McTccEyYxkwvxq+MIHnNxdqztb1+QaZS+WbYWlZPb/PImZ+sneTIhYnq4Ji3pR1zf1YOKyg8GxGnuaE5Yk5c3OwgfuxstX5KP1to1Q0/LZzLc+UNMXfiXzxIeGTUOcZuSWnwsz/m0/m6xFOeocddtgS/yVLOc31W9IdRFnyzal9Ncg9n6TYLNDmUVbi2ArACjFW0sCyRH5GteM7vw6rRA488MCl/CT4cvGDIr+u777mxG0UpX6yxgbqiPrqvoG6Z2kq53u+GyDPnpvfinzgk9IqwCUN8kF8/gM1bcdVfLPM73Pi5wdA9tQ5eRRIqzn+Os/5tpBpK1XIcbQHwsh/Xd+0M/zOLL1vFcQSBitX+CJ4/kC7YJSqnredYbEaWBElz5SNz4Friq9+t0pBCSMjlm9bvcMfILBqw+Zs6pS8sOpOOi3h54NS+52xHFldU7cjRuDSJL/C/0h+ieeenp0fBnnTVsgH7Urb35S44MMivM5H1gtp9195aY/4j/BTkod1XFZCv5c/ZC3Q1vKXEFd5e1a+FOHnY3lz+PNoj/in1XKqPpEF9659abSFnk275zfy2aZ50skXMXxp4LtWISh+b4H2Vftlc0A+PYF85PvET8/11QP+LpyslU/tm2X7DSumYpEJyLFlycqwHbCVMFYN+c6CKh+Ul7pnJY62QRse/lZw397+Tlzl63d8WRaK3Dq+FVIVx1FD2OswDVGroZbwUByC8HQOVAgCqfBbTbL8RuMGFd/v4xrxW8XQarslzGe/cx33DHrv47pw7d64KmDcM5Ae9+29ToRTrhw+TxWX8Mqzmohb31PaPI9wzyOO/Iy4vflbP3/g3u1oo3So6dQ6Se3U6juKcl0eyk8ZyGfI4yiH3mlVeS68vr7P5Iic1tcVN8oPcU1Hr6yJi7o8pyp36SXr/itvTJUG8Vw7rg9x1WfyX8cls+7vcB2/me7ZOH9y0KudWl0jOrLAZ89SP1vvdR2RH37v+2CqNPjce69+caVJPvTWS88vH/wm4nqueH7XCeJcXPfEVOmK8GhrMFVc94p8j+ee7rrihjwFZETc2qmVgkqp8tzBVNeFc99DOcgH142VKIHPrhlxMdV1xXWQU/idgyz3a8tQ3yviRD2ocU2/WV5Z+NxP9qaSf9cVRlZcf7rrSl+dv+JTYu2LMjKrbIxgeXnPhA033LBoc4tNIVEIRhe1NmwFisIwIgmMBHV8RgK1RzWvdJvo1BYDmibt2z1ZU2jEPKxd15p3+cp7GawHRpRGYdHAEC5e8bTpestn2jR/Cs8DwqDxZMUw8nUENOazzjqrjEQCowcV22jM6DPwOysCXMtI2OhUudPWzeGGNQcaCSMWq3gCDYZ9E2xBbDMtGDEbibuOxoVFygjOyMmI2t4mtce70Z58oZkHNnlyTRaSVEgmqRUSMktm6rI0uvMd+TYq9b2tvv1OflmxwfMeZEnZsTwE9p7wW9uW140Nax+5M/oDiwTrnlEi2VfPAvLoOiyFAZkxsnMvaQnImI7Cdxo8VjZ1hbVBvarrJZnRmLMeBkaeNhGjQNjECtJKTowmWTjUUVYf9ZEM2QclrETQXrEU9K6ycS9x6zSoVywx8jTQMBulqlcae424FSusO9pE6ZCfsOJBvtmAi39eQL5ZF22uFRj9syTavnyNNdYocs7yqK6wNNm7IvCdPVnUS0o8dF7aHhZPloFAGcoj6VAv5ad029TOtg5GxoE2xOoObVRgxG20zpLCogLX0tYYmRttaz/lJysQ+dDu1Su0jNJZkmrLC8uI52PZqhUS5UZOPF/AmqaNJWthlYU42hF5RskkE9o8+aUt5vcYqwblmWfRxgTaYWlTDrbdD7TTOnj5yEJCFt2fpdA965U6rGEsWvIkINtkx34u9YoaaScjfm/1k3yyWskrGdQxshOwYDknk4H2koyzpsSqIBZPbYRr+qwe+886J03Ku7aQeAZWEO1yoJ8j/yO1dXwrjMUfpD54EN/qVrdaJrwtnPKbxeJDYt4XrUIyrz4kMH/JU152W31Sp2cuq2yUw1e/+tWS3kGssmkFbokX91xX2bRKX9nymt+HuUbz8pitD4k8hxVf6UMyu63jlYeVG+aMzR23jU5ZdRO0SkQpt5qZrrIhh4NcZaM+xrb0c11ls9122xVZ4YfQKvdL/Bqm8iHxfTtAGMjW8VYgehUD+Byo663CX87RKnslvO1ou5BJpGF5q2w8D3+IdoQ8kFU2bcdXtvLHXFfZWFVDviKvXVe7Olsfkqjj5NS13Eu7pFxqZuJDYoVOq2Qt8SEhO1bdBPop/hE1M1llozz4V5ANcQexykafYWURWmWs1KsVXWWz+eablzznQ0LObnGLW5Tw2fqQtIOE8ll7s1A+JNOusmmFplg66oO2bTTUG16PzpOloZnHSpu2ki216mYcMTJjAqRFw/PKg2RhMVI2mgvIHmvTuOMZWT7jc1gMFgL3qvPYKHNlyfOo71jofO9Hb1msLPKvzse0ziiUw2yYViFJBkOtkJjTHHeFxPMxMQepkAwHZuPeBrlWUMYVzxgKic/yYaFwrzqPKSQrS57zkQgWOt/70VsW/CdWhrJQ50MhGYVymBWdpWTGMPc//elP786WZTFO2TiYK+NoC7BMudRhTJzMXf3i1ucO2VrHNSXD5NhqquV/fQ2fxRUeYT67bu+94hpx7nv3Eua/+9QHU1x9Lo5n7xeXedT/uGeky3PH/RyuKbwO6xfXtSKudDuv48Z94jDN0JuXrscciZyymaSesjE1oSzlbxzkNuQs8t1hSkF++hzfkYU6rkMc5eB/Hd57Xd9PJU/KTngdNlVccifcczri2v3SQJ4cdZg4IXsR5jrkKepKfd3euHEwv/dO2Uhbb1zXld46TJw6ve7nvu4l3zznVHHj6C0Hh7zqvW7kWXyOI/JX3AgTJ56hjuvcc/jeEdeWBtep0yC+uHWY30tXHVc8zyy8N8/7PW+vPMUhDPWUjek416/jTXVdeRDpjeeVFmURslfH7U3DVNftlT3fR57HdeOQ7ij3OKaKK0xcaXQe1+6XhpnInsO1hEnvTORfHkhDHeY3MR28kFM20zq1cmzhXFPDKZEjUL0UFN42ySHH9M1ic2rlXMmZLeBMyRGuXvbIWcwyStfz+8CyL86q9dIo9+KYx4GqFYjiTMS5zH/OqpaWmQ5rBbA4IFqiyDnTOUx5cL7jFGer4cByMHE5EnJa4lTE8sBZtRWqpZYRWplCO66XjbkuZzDLRh2BZZEcCz2z68oPHt+c6jh21VvSkwlOY5zJAst7OcVylpQXzjlbSZN0WBLHac6zcFiTDz7Xy98sQ+TMWy9PlE+emcafTq2T1E6tlv1ySm0bme7byRUUpsuE+R35Uzc5bnNMIytto1bi8r4nE8opcK7s1YuIB3E59ZF937eNVvmd66k7dRqEuY6XkQXKlpxxpqvvRx5cV7ilnG1DWq4vTBrahrKLOflsbWNaLD1BxFV3PCvIC/mWVjLJmdp14hmkPeKCvKrz8rbXqVUe1GlQT9yrToNn04yK5zfqnTqq7VxnnXXKM8Y1Iq7fR32HNlWa6jx3L3GjvfGsrVJenEfV+9ox0YZinEJtvyDf4Lfitkr9Uu2bOul+ykeZSLPfSLf/dflIL3mqLZzyUNrEbTvJEiZtltO6HsfkM844o5QlGVRu4tbtpjDf1fdyXXIjHbVTqzaAo23dZoknXeRhKjkVR7o5ZWpztI/SV8u/PKp/75rSJb11uYsL5eaz/w510XNHPoAc+3299TyZJAfqYJ0P2lLlrv5Im+vIG+nqldN+sieu5w3Zg/xzD/cnD9oR15lK9sQPWQ88I0diTs0j49TKcYhFZCbHJZdcUn6TTq3LOrVyGm0raNGOjzzyyOIQRfPHijq1ym8j5FbIS3oHtXU8x6m2Q5mTUysHRo5aXi3AqsHhzoF0ap05c3VqtV00B7dwarVhV2xrjhV1aj3ttNOKc/YgnVrbxrbIMebq1KrucPjmBMpJkaMjFsKpFfJP3TdKtREiZ89gRZ1aXZuzJIxwB+HU6nsbRLaDzDk7tSrzBz/4weU52o6vfI9hOrVqI7fffvslTq3ueeyxx5bvsKJOra961asmnvnMZw7UqfWqq65aUmfm4tR67bXXlt8K49TaDuKWbNS36J1abdRjOdFMjnrZU7I0tPTab6T3fLZY0mZpmo1vLJOjIVtOKDwOFh3hdRirEO3fksQ63CjbaMJn2nKrsJSlbOKuCL0+I+lDMhyMPpVnYGRUn88WozEyYtTEUmrZMLmxeVYtTywkRnN1mE3YxGXlqsON7I3WLUU1OhVm2TnZXRGM7IzejJzheetR+EJQ57uR51zyXD5YGmvZshG2/AELWZ2PLABte142rouw2IrA8us6bquQlXDfG6GzCFnW6vcrimeMUfcw8rwfLDR13s9V/lnS5J/lxPLQcnMyTV7r/NXekes6jNyLq92uw9UTZWAJcVzfpmgrWha9eT8qZTFT0ql1ARi0QmLdvPXhdozUkBB0Ckk7uimHPQLs+0ChiDCHhk2nYiqmDjfFpCF3XRXEmnV7qTDDrgipkIwGGiKm4oBZtz6fLRo3MmIvA/t/6MiYgU1N1PJEUTYtUIe1I7kiY/b7cA2HcFOITNX2dQh5Pf3001dY9jxf3QD3ni8Edb5TSOaS55Q0ddwAIfJUZ2VKNPLWYc8Z+ScfI8w+JeIyrctv7YJw58LtayTv7UkS+b+ieEbTAvF5FDrBXvmnkMylLOSVPLQvi/yniJB/8hp57qA4apvrMHKv7bXzaZSDgxJiWs1gUTspzB5Vyn1F6M37USmLmbL0lnErIUYgRnobVq9E18HzAam3FLYtsnAddT1frhJffvnlS8WNxoECYF5Oh++3oCgQQo2AzZkItrgaHY0XNMbCNBz1db/yla+U/xoTlYuAE7bQ+s0TG23GHKf/ns9o0XeEUwUyT2mOMaCEOCBcHKgU5g01hIGNzqSvThcNX5htmm2IZWMfHY20uBZ/IvdWoYWLazMfWzsHvhOnvq654xUdKa8M9JNTPkbKTRgZ0sjZ1Eqe24iK7EV8DWG/svR7SgdLR8Cfx/WC6HzEVR/IW0AeyaYR89prr11kixxIbz1qXWeddUr6pMFnW4D7jTL3G404S0Ag7epInV7P7/c6B3Pl4kine5B7viH8EPyG1VBc1ho+S4H4/ToA6fD72v9MnaJw1WlQp/3+lFNOKX4d7h0KvXvzM4j46ru4LB61T4QwPmr1dVk9avn3POqneqJdqTuayHPIS88U9VZc59LjnuLJX+Um/11Xm+JwzzoNnl0a6jD3kl6DoJAJciM9ytiGksrbb5SHuKyyUe6weZr01NeVFnF7cc3eNPAl83sb0un8A+1P3JtPjXjKW1z5W99TuUhTfd14vQCLBqU7cI9owyFPpVWYfKz9TUKm1RH+O9HuegYDM+mCclJG8lA98ZnviXh+Q3kxeAyUm3TU6dUnSIeXQfLz4L+i3RXmWZSz3/kNq45w7YF7B8J62xFtuLQvOK0QDpTF6ENiflJYHG3FKj4gdRg/D/Nv5lnrcHF7f++a5k0jrmv5LK7r+BzXj7htg77k9z4L812c+41zRdZ7uL//bcOyVLjfxOf4zv3jPI6IM9XhOpE+/z1HpNXh/tLr2s7Fj9+I63M8b2/cOPg9CK/DPK+5UKQPySS1D8l973vfUj69ZSnf49zv5X/kufM6vnKpz/1e3ve7br8jZLKOW8evP7tXfI7v6t/3fhf/4yA7jjpMnN70ek5yZ268fr5+ceOwYVY/H5LeuMJ687D3ur5XBiHPdfyp0hB5U4c573fEd1PFrcPiGerv/I92oN8Rv4+4tTzVYXVczxh123fxzOL0e17nvbLn8FvUPiT8j3rjTXVd9/XM9Xmkqy6HfnEdrkdu+qW33+Ea/tdxIyzC43PkWf1dlEMdz9HvujORPYfnjTa6fr5+cR1TyR5/QSykD8lK/y6bNmOLCa7eJpi1xO9YMQIjGlMZNNKb3exmXWhTPKxtS1xvv+0zPwy+GTRiIwZaOuuA7eBZHayQYMY2Z+jaNN9WYMvvabWsJzab41XPUtAKTZm3N8rjPW2FCU1Y+t2Hlm4FD82cdk1LN8K1wqUVwnLQ0o0SPF9tEaIdi281DetJjLaMNmwBT3sXbqto/gM0bVtEB37PC96ctC2XvXDL9aXPiN19TTHZwtmI1/by8tJ284FrS29dTjztbV3veXKVzSS9q2zahmepl82RWeUjv0E23/CGN5Q6aWWXVWGnn356+Y5ckgcWwoAcMuWLa3Rr9ZTtt8le23gWeSRr5Em5sBZYrVGv+LD9Nhm24sr30ui35tWt+iLLaDuJIh+ez/bsRo7k2X1ZzNqGtVybVWKvvfYqc/bC6pGcumF0SD7Iv9VErG9kVt0Uv21gy/d8KdRDW7xLW2CLevnSu3V825iXVzdYERbYMl6dql/pYBUPa458I/e2CLdCwUoT15QeUy7ySPqY5Ml/nWfSwA9PukyByafwA5PnEVe+s8iQ/XpbceWmvkob+TBy105pG+ShvFCnWUjE1RZZRagM5bnRuTCf+Q6ynqmf4rJuyJ9AOZEn32sntRe2/re6hj+R7ejVVRZi0xfyw4rD+qV9sZU/K0AgDV46KP29W8drX4QF5Ep7I9/UkYBsyAf5rWuzHTrrmW3YbYvP8uf1GDCNpd2rXxGiPvDnOOCAA4ocs1J7VQDrovZZOZBb7aH0ao+sTqytXa7h3la4sCj7joyTa+06eSSX+iFlrD6oY9KivP2XB+6h/xCP/LO6WZkoPwN9l3rhWZQzmVMn1D/yxBIlHQcddFCxtigXeVT3YZ6VLNj0NGBBZDnh8zIyq2xWhMVoIWkFvnwOfD/IVTah4ctuq2x4aPOExnSrbPbff/+J3XbbrWxHjd6t42ElhXu1ik0XMslsVtm0nXp55lZx6EKW3Tqepzot2aqBSHvQVqolq2zaileex2sHrLJpG8KS5rZTKXFzlc3MmesqG7QNaFlZw7rXNrxFDr/xjW+U76ZbZXPwwQeXlTS8/20xboVLvXU8lrfKhiz4rm2gl7vKpsYqG+lqG9mJtoEuKx5Yg2zJvrxVNve///3LNduGv6yysTJBHcNCrbLxygR5YFRuhYNnOfroo8t3062ysSriYQ97WKkjrSJQRqhG661y1sWaRBlOt8rmox/96ETbocxolU3QdoLl93vsscdEq8yUV1JoO9vBwzIyyGohXbHKplUMiny1HVt5DvU+XhXRKg7leYexygbqwvOe97xS7q1iXtqitrMv3023yqYdrJY2VJrIbtvZL1llEyxvlY02z+rKH/3oR8tdZVNjlY06aFWMOuQZW2VqRqtstAnaaWHkSXsffZ3ryfNFu8omGQy9e7bQZlkNaJ/TYZTIH8Wo2GgoRrI+04aNRGjdbeNSRrAsJ75zGLHRcOPc4aVONGcjuQij/Zv/NTIyGvESMOG0axaOtiEt56wa/Gikezq8NIxmb4QN8Wn5MSpOFhYjMiMmKAMj6NqaNxVG2PwJyBgLh9G1kXHIjcOoVRirXx1uhMgfxEiehc1o0MiZLBhJ13FZ2owy6zB7eLCKkGujMpZC16vn8Pvhe9Y6I+uAVaZtxLuzhUE9MzINWAZYSZaHZzbv73nVRaNqddheKnX+tO12aTvqMKN88Vkz1Gntg8/isvjUcVmUhJONCLPnkd9rT/gPsIDwG5Km5aFd0EYFLAvKfRTQJnoesBKxYFmZOB3yBl6S6MVzrAPygQWpzkcvHZVfrMJ1OHlmwWFVaZWeUoYsy+SfVamOSz7VlzpM+bN0Q71h0VPPlM90aNvd1+8Rvij13k6jTiokC0Q7Yug+Ta6yoTBonJlvVQAe8byvHaZxhDHHETImPEc0yARbB8FUx2RKUC1FE2bag5CrBBp0n+MIpylCypRKERFuGkoF8JZK93Qd99WRuFfcn4BTfFw70upgHhXmv+kB1wjcy4Z5yXDwJmANcjSyzN46KkoxZaC3LJnBNb5M9OSF4yKzLDN4mJPjICOmNWoZocSSJYdpC28zdegU/Z5sMfHH4f4Ov4trkBkyzdGbqZpibuqAw57/dXo9j3rB9E8JZnpmnof4ZLg26S8EFDRpjg5EvfDsOgpTNsJ1ivEM3uIqDyiA0syML+9MBSm3Om98hmvUYdGBmWrSCToodlCedZ6HktF7XfeiXJjaME2izEOp8ZbbSK9ycX/f2fLBtERMvXhOz1C/DXmYmNI1tRCQF2nV3ioj+RHP5aCsk1FTH+TaFA/5pRDI48gvh+8p+dFGy0PXI4/+m7pWDn5PIZU3fhPl4JCP/a4r3Ft5KdfieROw65ONOr2WCItrCozMeF4DBXDKXXPNNcv03qKhFbaBshinbGRDfTAxMhH2C+8NYxIzRdEb3i+ueEylveFMZr1h0tgb5mBW7Q2bKm6/ZzC90xs2VXi/MPnFlNobzjTaG+b3U+Vvb5hnkJe94UyPyCmbSeopG5s+9eYXGesnT/3CXLuf7EwlT/3Ksp/sC+snO/3SMFWd6Hdd9+8n0/1kT1i/9PaTMfdifu+dsplKzvvVwankv1/cfvnQL78cU+VDb5hjNmXZLx/7hTlmWpZ+3y/uVHk+VbmhnrJpFbW++dDvuvK7X9r6xZXefmU8VZ71O6bKx37p7Xfd2ZS7sH5lP9PnnSrc7/vdb/fddy9lkU6tA2QmTq1MbsxyAcdApu0dd9yxC5lcXmWkyQGorTRd6KRzFiewehTGqZDTIe22FfgSJpvd04jSqI/zHDjaubZRXSsUJYyG3SpMZTv6evv6toMq5ncOegFtnvlWXKbigJWCVs3kHtC0OXjR2jkqBRyYmJjlR8AUackjy86d7nSnLrQpJnQjoF6zONOikTTnRBjJcs5jDTJqC1hlPvKRj5T84sgVGEFIHye0gCnT6MYIJJ1aJ2EaD6dWTpysHOtUS/jkIZmoHSadK0/lY7QWcHJTTix1gakR5UaeTBeqK2uttVYpN2UZzqWsGGSazBrdh+xCnfKddLeNc3GqI2+seOpU/cqA2HPBdQNpMjI1cuScSr48T9t4l2tzkAw4X5Jf0yL1SJDzqtEmM30gHxxto1zqYWCkzCLEMlA7tXomI8yow5A/0tEq1V3IZJ5Lq/zxvAFrJRmPESu0Q9pGcl5fw1JM0yZGwJBuee5eBx10UKkzZN/zax/8dwQRZhTednwlLV7vYHpGWSr7wNJjbQ5LTlxD+sVVFuRJ3rmWcrOtQUwDwAhe/mpvXDvQNpgy44QbkAGyJw9786xXTt1PXWcJYMnQxmi7tXnysHbElE7XcN26PRYmL8hsQFZd9/73v/9SixdYF4SHJQnatvPPP7/UExYq15aXZMRzqX+mX6RdesmRtNRl4XN0q/6rp6bHWBs9R72lPEsMGWsHzl1IUxyROZPLu5B/jrPKRD/FEhKYFlKerIPRDrin/kM+1Pk7lZxqT9Tzunzki/qgDyAD7ptOrQNgKgsJpz2jTaOz+XZqRStcReukadLK2wavOFet6NbxwaC3jg9WdOt4znptJ1qcp+R7r1Vjtk6t8mrnnXcuzr1pIZm0kHCuazvg8vzLc2oFJzblyzIl30PWpnNq5Xgt7zmJIraOJ/9RDstzaj3qqKPK9ufgGMipb6ZOreJyiOa0rY66XjtIWK5Tq/RxxlUn2k6lhAVTObWqq2SWLKmLrfJbnAjVwRVxag3kubLQHkRbMJ1TK+dy/6NM6q3jPT8HY8iPVkEon4NwalUWyhVtR1nizsaplWzJJ3kvXziq9sogq4V0hVOr30qrZ/Wbmtk6tXLCJtvKQl6QQzKoXGpm6tQKDvnuJT4H6bZTLuH6qamcWo844ohy/1ZRLuGxdfzXv/71st0+lufUqg1+29veVsJm69SqXrk/+SeH7aC3lMnynFrltz5PWXJqrZmtUysLrLJoB5np1DrfmEeM+dGFhIbOGsAXg/OZkQZNmxMpa4jD8lhhRv608jiM3MBhLQ5LP2nC5nXrcCNPGnYdZjRDQzZ/Woeb1zavXIdxxBXGoapOg1Gz0UGk1cHC5LqWn7qHtNPa2wpY0jsXpMFIpd7IamXHSNkozhz/TDFqY4VjpTNqYlli8TN65OgX5Uv2lK+lj0Zu9agJytlvjMie9KQnlbJ2bhQcB3kUDqPpudB2nMVKQJZZQ1jyanlkPSAjlixKOwsdC4HvZooRLt8JeQPLQo0GPcdckHYWIc69lvGyWHA+lYesC/VzSIMRu7LpzXMY3fIpYN2EZ67zXJlBPhndzpW24yqjYtYwZVmnlcVUevmLkQPyw//FyN0zzwXWALJthO++8ou1N+RpRWHJYLnnd8EKJt3kiRWKxSKejdOp/GP5Zh3pLQvfsSiwvLuW/kPZ1GUhrcpBXsxV/lkypJ2FxrW1q3VZaJ/JkyXXlqeTq1vf+tbF4jFXWECUBUvfQrHSKiRMchquYcAUxmTKadCqFoLLyU2D6OBYpQPRIBJoB4EM4bZqIA5mSL+n3NThzNfC6zDmf9c1HVWHE2zhdRiFRGVTAVWESIc06SAirQ4NpYpjDwEVnCBTlAaBdLUjhaXeOLyyQ9HT4Jh6mA3MvqYTNTBWT9nzQnly2IvyjY5NGbt+7woxUytM6qZ1yLDfcpxlWtaZOjjTuQc5VnYrggZd2esYNbSUHmZiMhlpJZvuL8z0A+Wes7aph9l0jGRXxxMy5pmlezbXmArlZLrFVI/t2XfbbbfybHWdckDHozxC6Qg4GmsrmM/DQdkzynOdK8VBXvutlR9zSbeVJDpiaZBOaUKdVnmu0+WsbsWeZ9NxzVYe+6Ec5L2pAM+hHRFGFuaKa5nq9IxWA5oCIu/yNp6Nogfyr54ZKNaYyiPbdogl/8pRmSoL02zKw7SP6ebTTz99hfsYCp9rUZZM5Umb/JDvkVbybxpHOKdjA13tr4HsIGSXEk1+PdtCsdJuHa/imqNXcDT9en5SxTY3R2gDvh7Cvbyq1poJCMGs4xptqcwakmiQNSKg4dZxNd6+U6E1uCCMfh/WEhq5OVVhKhAhDYEjmH5vXtBIJVARhNdhOhL0xo001mHRAFB0jJQpUdARmdc1xx9InzQbyRjhBOJJX/28RvU0ev4g8jgQbqRRx2VF0jC4Bh8S10smy4+lwNy0hq/OM3lKTuswjaY814jWVhXlRkY0eFG+wsxrG9nzjdLguZaVFMrBaJ8Vwn1rdIpkIBp38kmudKIaTn4hGnsjbvUlcD9pq9Nr5OoZXIuivtNOO5XDRoLqiM3eAvXR7yla9bORdXWzvi7/Bmkw+qYkBPLAknp+KDoB1iP+NRQVnYp2IlD/+O3U1+UX4tkp57VVUJh71nHlm3qsTtUbUXkOAwVpgN9oK+SDtBlg6OikNdBRyON6BOv+0R55fvH5ntVpcC7cCD/quTwUH9oao2wHXwZlXvuQsCAZIHk25Rloy3plj/zIB+2F3wQ2xBNex1Vm6rvfSIN0so56HspPHVfHK83aIz4XATkjb3Vc+abcrWzUpgTu45nvc5/7LFkFadksSxVfD22fa7sWRVdc8qre8c9DlAe5kR7PQEbIP/mxQaG64zrSIO+09YE2j9zW6SUj7sUSahOzkAlWS4NHWzAElFz3ZaGq66Qwy6/r68pHeU5hWavysVFmve0ImTbYlf7a33DeaTN0oCwWHxLzvmgFp/hltBVzyf+2UizxOvZ9xDEnXIc5zL+JW4eJ0zYU5b8jrh1h9b38lx7/699LQ2+YwzWcu2eksVWQyv8Ic7SVoaS3DhPHHGJvXPON/eLW6fJ/qudw9D6Dw3XlTx0mTuSjI67hecXvzRvzo8hVNpM8cDmrbBzysTcsyqf3iLJ2RJ7X5VN/1++6UaZ1+YZM1d9FeB3XEdcNuYs4Iaf1IS4/BXHimo6oK/UhTjxPffTLB9e64IILptw6vj7q56qPftftly5HfV3Xktaow73HVOXm8Ns4nNdtToRFHvTGlTaf6zyfKg3Ce/O8X944+j3zVM/QL65nQL3Kph3gLXXvOPpd1/Mqw97wfnF7ZSQ+k7EIq7/rd91Il//xWd6IW3/nf7+yEDfKIA5x+sm/uPJEnLimo18+TiV7s5FT/oJYyFU2K+2UTdDmQTFLxZypkQiNsS2kcs5qwAzNjEnDFeacRsxERxv2e2G0V2HOaaIsGc6NaH3v90ZGzl3H986Fi+f3cW1paDuGJfeRnlYIS1ymtGc961lFqzUyFJf/Bi2c5u6/+Wpx49xhxGF0Zt8D50Y4RipGx/JBXB71rEfSBtYg1iNpkEc0a3HjuTyHz64rvT4Lk+628hRNX1ht0q/jym//WwEvh/x27tqemak+6Q9TuekFo/k4WBLaBmupMFMZwkxr1OF+q3xiZZRRohUNZFdZsPBFXBtdKX9TPTXiBW2DWSxzDrSNchlNGsUayakXpvecx2EULp4pB6NFh9G061qNwwzt/qZtpNVqBXHIoDrpucT1+0irg8yy/NRh5J5M2oK7Dnd/1+zFPewJVMd1T5bLOoxvgmdnwanDXdfePnUYvxvyL33qszx1b+0ITIlF3IMOOqiEGRn3Q/o8uzS5f5SbOipvrQYRx5RCnefOjaCt7Ig8Z73QXlgRZct39+cbBnVQHHVSfkcbafoi0uoIK1sdxtomTaxBdbh8keY6jLVFfvTC4uEadVyrkrQP2sE6nFVPW1OHsVwpd7Jbh7NIkSkbzyEsY57N/ay2jLjkjm9dvWIQ8gPK0j2kyXP5vXN1Sp7b7l05qQd1WYSVSx2NsogNM02p1vdXvqaQWBCVqzYW7mUKL+I6pEPcOsyKSzLpXnW4tHvFQR3GIq2tXnDaBxsoi81CIgvaila0T175tkZvhawcO+64YzlvBbH8phWcibYRL57gbcUp39NU28IvK0TEdbSFXjRIW0gbxbr21ltvXe7VNkTlOjzHxW0b3RI3ztvOuGwRLIwHOAsBD3vfOXcN/11HXPEivdIR/91T2uI8vuuNK631d+uss85E2+CUMmTdsLLBvXmNi8cqIfw2t7lNGUn7Tr75rZGUc0db0cr3wni++23b+Uxss802Jdx9eavH76VVnjp3T/eQ58KRFpJJagvJVjPYOh686uWtrbNrrMZQLv6TK6tdrLJRls55+wdW2SgP8kg2lL/yIMvKVbmR9Xvf+95lNYO4VhtIY6vcFnlQluqa+uNcPOVMFqzYsNrt5JNPLrImvbFCB86lqVUyyrnPDqtjXDNW2QTqyExX2XiGQW4dH5B9W8fXtJ1juZ/VG9Lvfog8l8+B55cG9UWeyE9tkXjy1OoMea5Nck5W5I+2xrk2QlzyIM89u3xXNsKlQXmzRliRIQ1W+rTKSrm/1W3iRR2UVuetolTSFatsgtg6vma2q2yijg9q63hYZePZzzzzzC5kEnIsb+Wj59KeW2UjH51bERhYZSOue2rDyLx2Wl56pYF6GfIf7Z46oi1TFuqN6/p9yL8wzygvyZDt+l/1qleVFTV+b9ViEHlPPlrlsXx2aAvkYzs47WJO4tpzXWWTW8cPCU6cVprQYmnLbWaXkaYRipGhFTle4gSjI3sWGEn4Dub4zPOaa+OlbV17W7mLkxyHv7g2+IQYAZoHNzLlFQ2jFdczSjDSahuBMnq0Wsa5eO4Jmjtt3gu6jILcy/fmXa0OEJ/2L9y5EaE5YHuQtBWgpNdowXfmM6Wj7ZjKuWfjgc7Z1u+NZIw0pd8+EjR1+cP73ejVfKa9Fmj/Rn+ubeTNR8TvPAev/Lbyl7l7I2ZhrmfeXH57URmHM9dwboTG38GKJGlI5g95bo4dylb5kxGYv68R1yirbdSKDwvfBaNqPhVWQXFm5vfAZ8WI39bjfFrMhfMHgXl78/HOI577WUHGQTL2nGgb4CUjV4QFwWjZzqeBHUHFXUy0HVDJa7AI8mFTJ2Dev4b8t0p3GZ3LTw6ZkKd8W+Q5y6dzo31WT74CzvlZQJ7JcxY1+R556XfaIe2TXUXVa3VW+lCnRRpZZiHtiy3Pp4I1N3yPWBz4j7RKRjnvXdnHcmvPHvWAzLMqyUtWZis2Q/7DoqSOsEQri3C+JvMh/8JYPdxPW85fShnrj5RBvWcKqxoZUee07wHLk3IbF1IhaWEa5tjEGU9nCMKpQhIUHSplgCmP+VRczk0UA0LWarOlwWA21ki02m+5hkaWeU0FjqmHVnMt5xoN16IIgDLgXu4TigePcHGtjtB5h1OnxsBvCa93H0iDqRsOVeJz3AqHUecqi+diaoVKY1mb7xziEnafW225KDAqk7DoAFSg+F4ljEbVZj/MsuKqsMyN8sF3Ohpp4uTrN/KRk5TKRWHSsUV+t6OKUjkjnfKYyTAa6qQ/8pLcxuEcdVh0QMz0dbi4ZIcjIDS0tRKiMa3jkjuObxxCyYUOrR3xFROwcwc5p7SrDxp6jbGGmzIrLoU74jqY2HXKph8p1EzxlGvlTtmJ+5MNYRp6inBMM1FwUMd1eC5HHeb5hcmPOnw6evPM73vzXBz0XnequMLVXeh0bCooDPIq4sYzG9RQFCPPhOmI6ny0ykKddN1QRhziUmiUS8Q1vStcnqubBlOx2Zx7xv21cYE0Rp6TC+mt4zqmkj1xe/OR8iS8DnNEPvSjjrc8ma7DlpeGUNzEI9PyBqaw67gUB0qzQZx8pLxwIjbAjLyVzwaS5DrkXz6efvrpRf61xRHXQfbJgDaYomGgZ9CGWp6kU7ooM+potOW+Qx034s9UTjFV3AWnTfhAWYxTNo62sS0mSweTW1u5l5z7rhWGEh5xncfnuEZ9MMX1hrlmb5iD2XwmYY5+15ivuP2ewdHvmaeKy7Tnv/yK3zFHOo/8dSgT+VvnubhtJ1nKKadsJqmnbEwJRh7XBxNsfS5OyG4dLp/FDVmOI/JeHJ8dyle5xbnD75iAo2zjcM1+caPc63BxlXEd1u+6dfp6D7/3v3428iTNdZg4/fLB9dsBwZRbx9dxXVddqcOmuq50TRe3Pjxr/I9n7pcPjqgndZjf9uavOMLct47rXHh9Db8T5jp1mPNId330y3OH8PpcnOlkrw5zCEOvU6v4dbyp0qB9673uVGlwfeUZzxmHZ4+4kRczlVOHeP3i9pN/YdJQh/W7rvQ4r9MZR79nk96Zyqm4vfnrXrl1/DxgAxuWBcuYgrYAiqOTrdLbjC8j+3rb9OOPP76MBjlMBZb9MsnZXKoVoi50co8AI7q2wLqQyWW/LCVGIq3QlzDZzKHp3ve+91Jb0lsqK64RTisUJczIg7WElcCUSUAzZgmpl2fRZlk0TJM4AmZYDqoc+QLWClYd00b2YQlMjzA7xrQSmHdNVVn6FVNT4IhlaZxnC2IEwDGKFSSwzM6IjzwERg3COcDFSADykVWqXgrJWkJTZ5nKreMnIWfym/XMlCDrBgfJQLkpZ1a1gDzJNyM0jomBuEZ0beNXRnTkJ8qSCV9YYPmukWRdlq5p5C5NMXqGqUGWi3jJHaTT9KPNs1jHAhYz1o36ZWzeeOtNq6YxjTYDI3l1xFQqlHvb8Jd7Gamq14G0qcPqduBZmcxZ3qJewrJMz2G6kQzWW8f7vXsEpkzaDmQphz/3Z37nlN52Al3o5BJSeSttgfsrH2WhHYlXJWhz5He9LbjyN2I33VqnQV1hhVJGgQ0LWT5tlNV2yiXMqN6yUe2IehywaoqrbWg7lhKmnpkyEFf7EFj2qy2PNkc+eVayQ5bCGgxhvmMdDdRddZ5l2BGIy9rFwhuIyxIrf1jLYut41mTTePV1pVfbEvkYsCCQp7AggEXAdgTith1yFzppjVK3yA3nU1Puyow1yBtyOZUG2kL5Wb9mgRWZtdD0dp02DqZkxOKAgFVJm2w6PKa+YCpMuurt61muOJZycN6gW1wA7bzzWParbOU/+TP1FOUO+SZfatlTNuL2yin5V5Z1XPHIl7Z6UW4dzyricr3HRRdd1MUYDrWFpBWo8p9GWltIbnWrW5XPAc25di5DqyAUrbdt6LqQSWiWbSfanU0y3dbxbYPRhUwyblvH17SK1zJWjam2jm+Vk2W2jo9RBmoLSZTjymQhiWcetFOrcms7myKz4OTIIS6sBIH6wEmypu0oSlm+Z4qt42vaxqs4Fs5m6/jzzz+/C5mEwybnwqDtdMrrBcRdTE6twqW7vo40HHjggd3ZJJxajV7bjrMLmcTodaqt49vOvAtZsa3jX/SiF3UhkzzlKU9ZIoMwapY/0jUOTq3kpFWGJ9qBWgmLreNbRaOcB+ROG1VDNsSdauv4mhXZOl79quFEq/4H+hiyp74ulFNrtEPzZSEZmA8JZ6h+GOGNAkbYRgPm8JYHq0k96kzmn3r0NB18VJRj7dg47rC4eWYjxiRJkmFg0YJ2iGVkvhiYQmJtey/MjMymo0B4jDMfLo9WUSte1MnCUe82OR3MmehdjTDOMKnCVEaSJMkwsBMv6mnzQTMwHxLzf/W8FPhW2HZ4mPAh0XkZWVsSJ01eAGc+LnxIbnjDG5YjPptHp0jVc6nmFh3mbuu5OvOx5kFtMxxYWSOuOflQyGSzuOYa69ev62TEdS8e8tJg3tyomB9AHdecpbnB2geFf4D5YHFjdQ48M+Wr9kExt2o+WLx67la+eGbWLJ7l8oD3t7lb6bViIqAQmAc31xyYm+ejI931nKdXqZsPrucZzWPyKJdftRWKL415SfOp4fntv3wLHxIrNFi4+E/c9a53LXP+5l7H3YfEqinLYeWZjcUiv/ltmDOX78qNr49yNzdeWyblY7+y9Btz+ebbyR25iGuTOzIQ9CtL88waKekyLx1Ir3l7fko+r7POOsWXguxYIl77dfBzIsPqZWC+n08THxk+HYFnICPKHuRemtU3/kjm0wPtDjmu/WD4wKhDlpiTYbLI54nshS9M7UOi7vrec/N38Dtlwprnc2DZtDSYa699PdRhz1pbj/nSiCvPlF34XPEBkd/yJ9AuUEb5N8y0zbEZVrQjrjVVm+O6/ErEgzrGX0U7In7Q2+aou8rTPeR97avUr80hB8rCNWvfCbKnnKWXXPDjIIfkSdnwIVEG8ovs8+mQBnHDN4Js9WtzyLB2OpiqzfF7baLyJJ/ynw+LtPFzqv2EtDl8SPQdgfLjG9Irp943pC+0bF1dUue0Y/JMndXGBXwCPXstpwZnBsRW39Q+X+RdOmM5sO3iPZOydy/5EihLeVT76fF/EtczuGfgOuqva3lOadQukGfloL7xvfECV/KgnZHe+fAhGahTq8oYnQk4TXHkHCYcjqICBwo7nFo5k3LUlA0aRoIk80M5CVQsgqth0oiKrzEhIMLquPJAXMIeFR4aFY04h6cg4nLSsgxMfMLSL67rETrpDKRDHJWY5kqxUPFVJs/RL64KWl/Xvd2Tg5fG12emOf9747qeZ1U5A5/Fld46HzRynsM1NQjyVmWSZ+LWjay48kJaPKfrSC9HWw6PFBJOjXVjqQG2JHKcFRKdRt1JaSh0chpTHYDlmvJe465RrMsyiPJRlvKMrMhHHbiy7Re3X1k6r+P6TMZ6y1K4zly560B8pwMnu+pKPXBRxnUdgXtpS3QsvXFRxyePcV33IjsaYTLmWchxIG+Eq2eQHxptbYOGN+qiJfUcSS3BpATD9X3neq5TW37d03WlN97nom2QLtes8ybaEf/r53A96eqNq0PqbUfkSb82R0cnz6N90pFIQ287Etf1HEG0DWRD+QfTxe3Xjig3aSOflEcdlzRM1+b4jhzJA2+tPfzww0td1z5r05SRfaB0phSG6KTda6o2R3iv7MmbOn975QN+Ly395BT9ZE+51/IA15YGCot0UnCk23XruK7nnvIqkDchp3W4z2ShV/ZcV/nXzyKuspNf8o1sUB7JXr+4IaeULH2Hcjn99NOLMq0MXaPuQ7U9FlkM3CWjzeiBwZHHJeNohbL7Zng85CEPKemqaSvCMs6aM4WDVCtExannnHPO6UJHg7ajKvm+3XbbdSGjwQknnLBEJlrtvwudHU996lPLjoc17cijOLuOK7VTa1A7ta4IbeNYymG33XbrQuaP4447bkm5t4pUFzo/tArZkntxQF8R2o6x/P6FL3xhFzI72g6wtA2OM844owtdWDhYRvvUdhhd6MLSdmRL8oGT9IqgDJQFp9YVgcNtyEM7SOtCF5YnPelJS9LQKihd6MISu+22SksXMnssCnnwgx/cnU3SKjHLOJIPgoFaSFgbbOCFVhiLljhsmPpoxsxSAQ2YNsjkKI21FjoTaO00yDB1jwq0bxou81s9Ghk28opZ24ioNtfPhBg9MDP7fe1rwlRqqbFN3sYRMmvHYHkQWBbKvG/EJV+NdOrRzvJQF1hTmLnrkeV8EOVuhFibv+cLz6UOMJHPtk5D3jBJsxxpG1YE00JGuNqG2ZTLoNCca5/8NwUxjPbJvZW7kXw9lTcbWPJYA001GdXPloWWvX6woMSS53qaZiFhQSEPrKesLjNFv6gc1SPTp9ohS5wDbYcl4YO2kAxUIWEqjPldGaBzHDbWgmtkzL8FTFH241BhfFfP3yWjBb8BMqWjMQXoNeSBLZa9MM5+FeOIOWfTNXUV5QPkhW8aDFM6zNGzaWiSqaH46cC0WzEtkAwH0zj2vuidOkkWBvlumsYUO6XkhS984VJ7V1Gy+CHVflsDgUIySJjpXNZUyShgXbr12/2wb4A14/ZKaUfbZZ+CZPh4wZo1/9/4xjcmVl111Ym//e1v3TdL045il9lbY5yw/8SNevaHqdlyyy3LtM69733viSc+8YldaJIkyYphLxz7omhX2sFOF7os7WB+4he/+EV3NjgGblPkgAQ7640CnHWYrabDznzMUt5NkAwfFiye7qYmpsMoipl9XGHBW97oMKx/VoYkSZKsKK0+UN5LxfJqZdV0sCaaFhs0A1dIYvqDt/QoMJN5clsx26Z8XFdrLDaseLDSod5OvB8663pFwLjBVLo8k6gleBoRS0yTJElWFP5G2pEzzjhjqWXt/dA2zcdU2px9SLyhsH6viaVGnLpGZQ6WU6ulexxZex3dzMPHMtZkNCFPyqfXOY92brkdRytlPI6QzXqZojzQCPgvT1j+nA/DeTJZfJCXbOuSmVD3jeTG5+g/tUna3jmqDn2Zs0JC+TAtEnBCtHeEvT9GAS/vsofF0UcfvdTL8pLFDevJmWeeWV5Cxbl1HLGHgClQW8ZbUUQROeqoo8reK17GliQzRTttUzCrgGolN0mWh9WzDA9evgjT6aecckppnwa9emigq2wwam/75R+yxx57lM3C6jeH9sNo3GY2tEEaoo1pbHyzotAorYBgnRlX+HDQlucyn2hVg47XSN+In5BP12gSWRsv8SGxC2S9e+I4wdPdssfzzz9/yRuXjVj4ltjYTIMwF8ilKS/yrrMi88qzXmapXJVPvfR4LqgTnmHg3vnzjFGiTcMGlQ/KUP5P1764l7n8QdzT/ciT+w3iesrRRluuOxXup20YZJ5pGxablUc91beoX4NAPljKXFv8tYX6Gm2orRFs+yDvHXNBPbWaRhl6Btg51y7ZtmKYS//Yj7FXSKDRtTzU9tS0PFsx1+/esW20js3WutZVy3xb+sqauWyNawmhzuSEE05Yapvn+cK+FW9961vLK/nr5bHzBcG0BJUD84oKvs7Qa60Jtl1JCb1dXe1XYivvXXbZpYs5+QpwS2EtQfOKb85XtkkfZ+y8W+/doqHRGL3oRS8q22TXcAKmRGsseqe4Ao0imZTftptWT+26aEmfPSNcgxIPysgRRxxR7rmi+0n0oi7a4fGggw5a6lX76pyGz1Sv5Z4rglfvexa7MNdbpc8USof9L+RvOOdDh6L9oBQOanqMMvLRj3607GRtq+6Aom2XUoMo+4gcc8wxpaNRBurHVEi7emR/mW233bYL/R/kiPXaM/TLX3KgI1PfpuvwWb7di+L64he/uLSZ5IXVLrbBhx1r1VPTqRSTQUB2tTlerFkrtPYroTTbO2ZFrD927n7GM55RltiHFWC2aIcMZqWhVtKUMR8v+yWpm4PA3ibq5itf+colSsnuu+9etuxXhvou+xSRA1txLK9N0M9pE/RX9bb/UKYveMELSh2oZ0J626WBQSEZJF7t7bXOo4THtPOf11j73FaS7ptJvAJdeLyC2XLLnXbaaaJtJMv5XGg77GVevT1fWPrpObwGfCHw2nqvqZ4rdrhsG5jubPL19f2ewzJf4e2oceIRj3hEeV36ykbbWSzzan+0jXXJG0erHHahy0K2xZF3p5566kSrpJclfMLaDnDJ69/RKgjL7NA4CC688MKJxz/+8d3Z5Ll7W8Zst+G2M55yqfd0WCLuOc4+++wuZOZ45XuriJTXzLfKSHn1etR/r5mPV7EPkte85jUTxx9/fHc2ycte9rLyDM9+9rMn2s63LL107piOyy67rMSR/n6oq75vlbUuZGnazrh83456u5BlaTvBJWlxn6997WslX5y/+c1v7mJN4jks3x805EZ5oB3MlPsrL+lRfu95z3vKd7NB++wZWiWxC5k56lqrDBS5Jb/kmDwHj3vc4yY+/vGPd2eDQTm0g7XSDgbqrTR4jlZJKX2w+t0q0CWsVQq7mMtiJ1txxO3HxhtvXOrWQrBSecPRVGn/NMx607b3ve99zVOe8pSiIYImaKRVm8RWFNewU95CYDT1hje8oawaWghsnDOIVS6m02jgrTyWc6N3Wnn9HMyDpnOMgGxqlyyN0Y8RMCtZyHE/jGq8TM4oKvBbLy3kXV/DWjUfb71mBWEFgxHdXnvtVayUwoy41dHaUX6meCdV2/HO2snZO0+MkC+66KJioWAlcbSdavmebM7V9N0PsuzlcTWHHnpo8Y3yPhcYbVv54IVt02F1IwvJ+9///i5kaeTnhz/84bJRZD/OOeec8vvpdqhlHZIO6QlLESuJ9O65557lPPBcg7Im1SgHU2dQPqa0lJVyU37yTXnOBu/MITdnnXVWFzJzWBC1geSW/JJj8sxXB8IGvcBDvmoPa4sFlL16XOc7yz+r53RuAyyC4og7bFYahYTAKDDKhzdBcrwNbnvb25ZlTvNRgRYS5tonP/nJS73RdTFCiTOFUD9HOxIqb/+0NJtDp6meZGmY42eylTOzrDd51jApc5xdaCgRdtqNdOukLcG39Hu2mAIyhThbHwOr8MgX8zQoxN5s+q53vaucLyR8JLwwsX6DrTfiLs9PilJpinOqMjTF4c3nU/nu+J3fT2XWD6RDegLplN5hbI2ufJRT+DEoP20EpWA2kBdyY1pjtkiDNimmisix6XJyvdAoQ/W4RptQv7V+KsQJP7VhstIoJOYfjcBpgysyz5gMF3OmtHzll4wP6mU95w7nynuhkIZea6jBSVjsktGkn+xgIQeW5LRXdsjN8hS7pD8rjULi1clMuTRBpsl6OoB50Y6Xi70B4txltOclY4sZDQ2HTY5TgWVmXty49957l+k10zfJ0tht+Gtf+1p3NjUcA70WvcYUDtP3QsO5nFOkNEEDb2nzimys+NnPfrY4tM5WmTHdwBmcwzQ4bXLI7J2GWAg4gGqf6jp82WWXNd/5zne6s6mxY+9UZei6HFKncjDlUFy/72sqpEN6AumU3kE5rs4GzvumWixphvIzLc/Bczawtp500knFSX62kFPyGjJHjs8777yhvF9LGfYuJplpmyCOuMNmpVFIYPWPzo43NQ/2gAAzE8eyJia8O9zhDiXuXKGt1+bX+UTl3GeffZaajppPLD2NxmAu8FC3qiFGFbzCrX1/znOeU86xxRZblHJRJr5LloYybbUGs2vv3HIN3ylm95iegN9aecb0XmNlh+nMQSvq/ABiJ0jTcvY4sLpDGvgwGCBQLGYLczVfEB3CbPDyRr4QpglNR1jOyg+HUgLTESvyxtnlQZZ7p1f5gJk6iNUeVh+ZXtMeTYdVLfe5z32aXXfdtQtZGiv9vLH11FNP7UKWxj39fjqlVHqlQ3qibfTCS781FV7DL2w+rFz1m3P5zJFRg03lpvxMvVg9Nhus2ON7Uq/omykUGX4s2kIrMl2DPHvbM8j5oP2P1Ef10rPXUO65I9T9lvtrE6Zb4UOpFMeL9IbNSrPsl8Bp8GyQZvncAQcc0H07Ofo2utIxxnJZWr+pHZV4RfF7Dl8a12iA5xNLt2y5vu+++xbFZL75zGc+UxoAI5XpOsHpoNDII2VkqaORluvGnHfdSZ544onFYU1+agjEq60o4wgHvnp+XiPEMVUe9DrvsTTIP+U/ldlaJ2Hem6Od+sBB0aiXU6ROxCjRZnPQGVrOaZpMJz0IpP/cc88taawtEAYD0qHcp3OsnA5LiVk6dTAU2Nki71iO7MlSKwpkzLW1BYOyzMkHnTirX+0fot0k5/vtt1/ZN4lSLq7pSvVjKnQ4fCd0zr1+BDB65rio7etXlpwhKYIcMqdzij777LNLXXfw3+D0zBma02y93JiDNcuBtoHFaRBoK1h5WEHqqVv+gdpuA83wJ5kNNvri2Or3lIkVgYO/ukruakVBGbNas5jEgHeuKEvWcHIeU1b8fyiUypCDr3TwZ2H1skRbfZtqkQYFRhlaXt5rXdJv6c8pLXUb39suDYqxV0hsLU4YVNTl+R8QGI2ShlghOZ+uci4PwuL3c7nGqEPY5dNcRkOEWwepE5VnPk/n50NkVUqbATGRznZEtFgwstJIfuxjH1vyjihWIp0ipcS+B3OBEuh6Gnp7U5B58l+vClCuVpmoE4NAGSvbYThBzoXYe2NQ+UDO5f90qx/cy4rAesS7oshzzxDlPVd0biy//Xw4AvKrExtknuk0PcNiQvsmzwdRjpAPFPdawdAWUMbUL8qZ8tYuz1UJ0ha4nnYgrmVvE3tPWYk6nfyuCANRSOqMpojYqr1eVjgMYoR48sknFwXJdMaxxx5bwpLFD18Sq6bGfev4ddddt0zBhdJl2abRHAtRkswUikFsHU8RSpKZoj/nY8UyBT5EpgBZaQY9sJizQmJPCE6GQVxu2F7GdvOzBNbaanNrRhrp+Tw+kDN+QEySg5pOGDU8ozn72tmMZcQUQspyMlvIU8pNMlvIjdmFeu8uS4xn4mg9WwY+ZWNjHz4ZNPJ6Li1JkiRJkmQqBr7Khrc36qVhSZIkSZIk0zFwhSQ8/4ftQxLYLtmLyJLxgzXuC1/4Qnc2fnCirHfFTJIkGQW0S9qnQTNQhYQ3bqx39l6BUcByJUuhkvHDksP5qBSjgtUJ8c6XJEmSUcHGlfOxz8xAFRIrbGKd/ii8qCdJkiRJksXBQBUSmyrF5inWRY/7plVJkiRJkgyGgSokdtGLRTs2rxmVzdGSJEmSJBltBqaQUETq+W47Ps7kZU1JkiRJkiQDU0i8A6J+f4bdW0fFsTVJkiRJktFmYAqJZb69e6zZi2TA+64lSZIkSTKGDEwh8cIdS3698Mf2xFbb/Pvf/y5LM5MkSZIkSaZjYAqJ16Gzhlhps80225S3Gzq/zW1u08VIkiRJkiTpz8AUkmS4nHXWWeVtjB/60Ie6kCRJkiRZPKRCMgaceeaZzZ577tl86lOfKtvk77HHHsVClSTJystVV13VfP3rXy+fLTI4+OCDy38I932SjBKpkIwBtk9/3OMeVywkX/7yl8vmdC9/+cu7b5MkWRkxQHn1q19dPv/4xz9u3va2tzU/+clPyvkJJ5zQXHLJJeVzkowKqZCMGausskrz1re+tTn55JObH/3oR11okiQrG1tssUXzne98p3zu99/3STJKpEIyhmy00UbNrrvu2lxwwQVdSJIkKxsUjiuvvLIsLqgVEef2jbr97W9fwpJkVJiRQmJK4B//+Ed31hT/hOOPP77ZZ599mvPOO68LTUaJe9zjHrl1f5KsxNzkJjdp1lhjjebnP/95UUTufve7l/8//elPm7XWWqt8lySjxLQKidcLP/WpT23WX3/9ZsMNN2zOOOOM8trhu971rqWzu//9798885nPbB7zmMeUPUiS0eFOd7pT841vfKM7S5JkZSSmbVhKdtttt/LfkdM1ySgyrULy/Oc/v/n2t7/dXHPNNc1nPvOZ5rDDDisd3bOe9azmwx/+cPOEJzyhdHq2jD/kkEO6XyWjAP+RW9/61t1ZkiQrI6GQOKy+i8+pkCSjyLQKCedIntlrrrlms+WWWzbPfe5zm3vd617NgQce2MVomlVXXbU59dRTy9LTtJKMDixY2267bXeWJMnKCMXDW9ivf/3rF58Ru2hbfZMKSTKKTKuQ3PzmN2++8IUvdGdNs9deey1ZRlbzla98pcxH2i4+GT5//etfywZpO+64YxeSJMnKCMXj3HPPXaKA+H/OOeekQpKMJNMqJO9617uaq6++ujtrmk022aRYSGo+/elPN7vvvnvznve8JxWSEeHoo49udthhh2brrbfuQpIkWRmpFZF+/5NklJhWIbnLXe7SHHnkkd1Zf5gBLS990IMe1IUsblgXFiPK4I1vfGOz//77Nx//+Mf7WrIWA4s1/5NkFNlggw3KfwsTsN5665X/N7vZzcr/JBklplVIZgLBvtvd7tadLS7++Mc/Np/4xCeaF7/4xc397ne/Mr/KcXexYbTzyEc+svnWt75V9iD50pe+1Ky77rrdt4sLiq1yeOADH9i84hWvKLtJppIyPb///e+bCy+8sDnppJO6kCT5H/xHLEbAne9857J5YpL0ov3QjmhPhsV1JuySM0A4Uz7taU8bmT0w3v72tzef//znm1NOOaWsCLr00kubiy++uPjG/OY3v2lWW2214oz7n//8p8Q/6KCDmne84x3lc7Lw3Pe+9y0ruqDh5DRtK3zLzrfbbruy1NweK3e4wx2aXXbZpVjwKC/jiIZhs802W6qB+Pe//91cfvnlRY45K6pnv/vd75rrXe96JZ8GXJ2TJFlJMBDUH+oLb3rTmzb3vOc9ix+i9tZsSe2SYR8b70Lyf5CsFAqJ5cmBDq7e5K2X29zmNktGE8nCQ25+8YtfdGfLsvrqqy+1motGP84KyS1vecvmzW9+c7EUWR3xwx/+sDQaNifslWOO5ZbpJ0mSzBaW9r/85S/d2ST6S4qItsY2EnwTDRqf+MQnLtlgb5BMq5BYqfHa1762O5vkn//8Z3ljpEaxxgqcJz3pSSOpkLzyla9sbnWrW5VN3X7729+WtJsGsPFbLzvvvHN5jmQ4HHvssaWcelEpQhkxL24Zuv0UdNbjrJCss8463dnyYVEKH4EkSZLZYMZgNm+J1z4tqELyy1/+svn+97/fnU1iv5Ff/epXy/habLzxxsW8PIoKiSkb/yETvRFX2EUXXVTM3xQsJm9b5HMKPe2000rcZOGxd4ryse21ykFDt1qI6dAKL59vfOMbl7gUkZVhyuayyy4r9SmsJD/4wQ+aG97whsW0apomkGf8opIkSWaL9kMfGBi48z9iHbnd7W5X/CxZR2IKZySmbE488cTyCutey0kw6gpJP7yaW3opKFtttVXz9Kc/vfsmWWjsDvynP/2pmAYJPifdqVhZFBL/aygi4Q/Fj4Q/lMEDZlmdkyRJCnxIoM01+OOvx4+ECwPFpGZkfEjGUSFJFicrq0LSD5YRq6zuc5/7dCFJkiQz53Of+1wZkNuZfXnMl0Iy7bJf8/XeY1MfRq/8L3rDa1PPKMG09NCHPrQ7S8YJfks67KQpjUgqI0mSrCjaj5koI/PJtBYS76jx/poayw79pHct+1Oe8pTmBS94wchZSJJksaKeWdJrCV6SJMmoYHGIva5immdQzHrKZnmkQpIkSZIkyWyZ806tvTD55FtmkyRJkiSZDQO3kCRJkiRJksyWgVtIkiRJkiRJZksqJEmSJEmSDJ1USJIkSZIkGTqpkCRJkiRJMmSa5v8D66x+uoiVergAAAAASUVORK5CYII=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648075" y="1524000"/>
          <a:ext cx="304800" cy="245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"/>
  <sheetViews>
    <sheetView view="pageBreakPreview" zoomScale="190" zoomScaleNormal="100" zoomScaleSheetLayoutView="190" workbookViewId="0">
      <selection activeCell="C10" sqref="C10"/>
    </sheetView>
  </sheetViews>
  <sheetFormatPr defaultRowHeight="14.4" x14ac:dyDescent="0.3"/>
  <cols>
    <col min="1" max="1" width="17.5546875" bestFit="1" customWidth="1"/>
    <col min="2" max="2" width="23" customWidth="1"/>
    <col min="3" max="3" width="14.109375" customWidth="1"/>
    <col min="4" max="4" width="15.6640625" customWidth="1"/>
    <col min="5" max="5" width="13.109375" customWidth="1"/>
    <col min="6" max="6" width="13.6640625" bestFit="1" customWidth="1"/>
    <col min="7" max="7" width="12.44140625" customWidth="1"/>
  </cols>
  <sheetData>
    <row r="1" spans="1:7" ht="12" customHeight="1" x14ac:dyDescent="0.3">
      <c r="A1" s="42" t="s">
        <v>505</v>
      </c>
      <c r="B1" s="86" t="s">
        <v>506</v>
      </c>
      <c r="C1" s="86"/>
      <c r="D1" s="86"/>
      <c r="E1" s="86"/>
      <c r="F1" s="43" t="s">
        <v>507</v>
      </c>
      <c r="G1" s="44"/>
    </row>
    <row r="2" spans="1:7" ht="12" customHeight="1" x14ac:dyDescent="0.3">
      <c r="A2" s="42" t="s">
        <v>508</v>
      </c>
      <c r="B2" s="86" t="s">
        <v>509</v>
      </c>
      <c r="C2" s="86"/>
      <c r="D2" s="86"/>
      <c r="E2" s="86"/>
      <c r="F2" s="45"/>
      <c r="G2" s="44"/>
    </row>
    <row r="3" spans="1:7" ht="12" customHeight="1" x14ac:dyDescent="0.3">
      <c r="A3" s="42" t="s">
        <v>510</v>
      </c>
      <c r="B3" s="86" t="s">
        <v>511</v>
      </c>
      <c r="C3" s="86"/>
      <c r="D3" s="86"/>
      <c r="E3" s="86"/>
      <c r="F3" s="45"/>
      <c r="G3" s="44"/>
    </row>
    <row r="4" spans="1:7" ht="12" customHeight="1" x14ac:dyDescent="0.3">
      <c r="A4" s="85" t="s">
        <v>512</v>
      </c>
      <c r="B4" s="85"/>
      <c r="C4" s="85"/>
      <c r="D4" s="46" t="s">
        <v>513</v>
      </c>
      <c r="E4" s="46"/>
      <c r="F4" s="45"/>
      <c r="G4" s="47"/>
    </row>
    <row r="5" spans="1:7" ht="12" customHeight="1" x14ac:dyDescent="0.3">
      <c r="A5" s="48" t="s">
        <v>514</v>
      </c>
      <c r="B5" s="48"/>
      <c r="C5" s="48"/>
      <c r="D5" s="81" t="s">
        <v>515</v>
      </c>
      <c r="E5" s="81"/>
      <c r="F5" s="45"/>
      <c r="G5" s="47"/>
    </row>
    <row r="6" spans="1:7" ht="12" customHeight="1" x14ac:dyDescent="0.3">
      <c r="A6" s="49" t="s">
        <v>516</v>
      </c>
      <c r="B6" s="49"/>
      <c r="C6" s="49"/>
      <c r="D6" s="87">
        <v>340.7</v>
      </c>
      <c r="E6" s="87"/>
      <c r="F6" s="45"/>
      <c r="G6" s="47"/>
    </row>
    <row r="7" spans="1:7" ht="12" customHeight="1" x14ac:dyDescent="0.3">
      <c r="A7" s="48" t="s">
        <v>517</v>
      </c>
      <c r="B7" s="48"/>
      <c r="C7" s="48"/>
      <c r="D7" s="81">
        <v>33333</v>
      </c>
      <c r="E7" s="81"/>
      <c r="F7" s="45"/>
      <c r="G7" s="47"/>
    </row>
    <row r="8" spans="1:7" ht="12" customHeight="1" x14ac:dyDescent="0.3">
      <c r="A8" s="50" t="s">
        <v>518</v>
      </c>
      <c r="B8" s="49"/>
      <c r="C8" s="49"/>
      <c r="D8" s="82" t="s">
        <v>519</v>
      </c>
      <c r="E8" s="82"/>
      <c r="F8" s="45"/>
      <c r="G8" s="47"/>
    </row>
    <row r="9" spans="1:7" ht="12" customHeight="1" x14ac:dyDescent="0.3">
      <c r="A9" s="48" t="s">
        <v>520</v>
      </c>
      <c r="B9" s="48"/>
      <c r="C9" s="48"/>
      <c r="D9" s="81" t="s">
        <v>521</v>
      </c>
      <c r="E9" s="81"/>
      <c r="F9" s="45"/>
      <c r="G9" s="47"/>
    </row>
    <row r="10" spans="1:7" ht="12" customHeight="1" x14ac:dyDescent="0.3">
      <c r="A10" s="83" t="s">
        <v>522</v>
      </c>
      <c r="B10" s="83"/>
      <c r="C10" s="49"/>
      <c r="D10" s="84" t="s">
        <v>523</v>
      </c>
      <c r="E10" s="84"/>
      <c r="F10" s="45"/>
      <c r="G10" s="47"/>
    </row>
    <row r="11" spans="1:7" ht="12" customHeight="1" x14ac:dyDescent="0.3">
      <c r="A11" s="85" t="s">
        <v>524</v>
      </c>
      <c r="B11" s="85"/>
      <c r="C11" s="85"/>
      <c r="D11" s="85"/>
      <c r="E11" s="85"/>
      <c r="F11" s="45"/>
      <c r="G11" s="47"/>
    </row>
    <row r="12" spans="1:7" ht="12" customHeight="1" x14ac:dyDescent="0.3">
      <c r="A12" s="89" t="s">
        <v>525</v>
      </c>
      <c r="B12" s="89"/>
      <c r="C12" s="89"/>
      <c r="D12" s="92" t="s">
        <v>526</v>
      </c>
      <c r="E12" s="92"/>
      <c r="F12" s="51"/>
      <c r="G12" s="51"/>
    </row>
    <row r="13" spans="1:7" ht="12" customHeight="1" x14ac:dyDescent="0.3">
      <c r="A13" s="83" t="s">
        <v>527</v>
      </c>
      <c r="B13" s="83"/>
      <c r="C13" s="83"/>
      <c r="D13" s="88" t="s">
        <v>528</v>
      </c>
      <c r="E13" s="88"/>
      <c r="F13" s="51"/>
      <c r="G13" s="51"/>
    </row>
    <row r="14" spans="1:7" s="52" customFormat="1" ht="12" customHeight="1" x14ac:dyDescent="0.3">
      <c r="A14" s="89" t="s">
        <v>529</v>
      </c>
      <c r="B14" s="89"/>
      <c r="C14" s="89"/>
      <c r="D14" s="90" t="s">
        <v>530</v>
      </c>
      <c r="E14" s="90"/>
      <c r="F14" s="51"/>
      <c r="G14" s="51"/>
    </row>
    <row r="15" spans="1:7" ht="12" customHeight="1" x14ac:dyDescent="0.3">
      <c r="A15" s="83" t="s">
        <v>531</v>
      </c>
      <c r="B15" s="83"/>
      <c r="C15" s="83"/>
      <c r="D15" s="88" t="s">
        <v>530</v>
      </c>
      <c r="E15" s="88"/>
      <c r="F15" s="51"/>
      <c r="G15" s="51"/>
    </row>
    <row r="16" spans="1:7" ht="12" customHeight="1" x14ac:dyDescent="0.3">
      <c r="A16" s="89" t="s">
        <v>532</v>
      </c>
      <c r="B16" s="89"/>
      <c r="C16" s="89"/>
      <c r="D16" s="90" t="s">
        <v>533</v>
      </c>
      <c r="E16" s="90"/>
      <c r="F16" s="51"/>
      <c r="G16" s="51"/>
    </row>
    <row r="17" spans="1:7" ht="12" customHeight="1" x14ac:dyDescent="0.3">
      <c r="A17" s="85" t="s">
        <v>534</v>
      </c>
      <c r="B17" s="85"/>
      <c r="C17" s="85"/>
      <c r="D17" s="85"/>
      <c r="E17" s="85"/>
      <c r="F17" s="45"/>
      <c r="G17" s="47"/>
    </row>
    <row r="18" spans="1:7" ht="12" customHeight="1" x14ac:dyDescent="0.3">
      <c r="A18" s="91" t="s">
        <v>535</v>
      </c>
      <c r="B18" s="91"/>
      <c r="C18" s="53" t="s">
        <v>536</v>
      </c>
      <c r="D18" s="54"/>
      <c r="E18" s="55" t="s">
        <v>537</v>
      </c>
    </row>
    <row r="19" spans="1:7" ht="12" customHeight="1" x14ac:dyDescent="0.3">
      <c r="A19" s="83" t="s">
        <v>538</v>
      </c>
      <c r="B19" s="83"/>
      <c r="C19" s="94">
        <v>44</v>
      </c>
      <c r="D19" s="94"/>
      <c r="E19" s="56" t="s">
        <v>539</v>
      </c>
    </row>
    <row r="20" spans="1:7" ht="12" customHeight="1" x14ac:dyDescent="0.3">
      <c r="A20" s="89" t="s">
        <v>540</v>
      </c>
      <c r="B20" s="89"/>
      <c r="C20" s="93">
        <v>11</v>
      </c>
      <c r="D20" s="93"/>
      <c r="E20" s="57" t="s">
        <v>537</v>
      </c>
    </row>
    <row r="21" spans="1:7" ht="12" customHeight="1" x14ac:dyDescent="0.3">
      <c r="A21" s="83" t="s">
        <v>541</v>
      </c>
      <c r="B21" s="83"/>
      <c r="C21" s="94">
        <v>14.2</v>
      </c>
      <c r="D21" s="94"/>
      <c r="E21" s="56" t="s">
        <v>539</v>
      </c>
    </row>
    <row r="22" spans="1:7" ht="12" customHeight="1" x14ac:dyDescent="0.3">
      <c r="A22" s="89" t="s">
        <v>542</v>
      </c>
      <c r="B22" s="89"/>
      <c r="C22" s="93">
        <v>62.2</v>
      </c>
      <c r="D22" s="93"/>
      <c r="E22" s="57" t="s">
        <v>537</v>
      </c>
    </row>
    <row r="23" spans="1:7" ht="12" customHeight="1" x14ac:dyDescent="0.3">
      <c r="A23" s="83" t="s">
        <v>543</v>
      </c>
      <c r="B23" s="83"/>
      <c r="C23" s="94">
        <v>102.8</v>
      </c>
      <c r="D23" s="94"/>
      <c r="E23" s="56" t="s">
        <v>544</v>
      </c>
    </row>
    <row r="24" spans="1:7" ht="12" customHeight="1" x14ac:dyDescent="0.3">
      <c r="A24" s="89" t="s">
        <v>545</v>
      </c>
      <c r="B24" s="89"/>
      <c r="C24" s="93">
        <v>340.7</v>
      </c>
      <c r="D24" s="93"/>
      <c r="E24" s="57" t="s">
        <v>546</v>
      </c>
    </row>
    <row r="25" spans="1:7" ht="12" customHeight="1" x14ac:dyDescent="0.3">
      <c r="A25" s="83" t="s">
        <v>547</v>
      </c>
      <c r="B25" s="83"/>
      <c r="C25" s="94">
        <v>11</v>
      </c>
      <c r="D25" s="94"/>
      <c r="E25" s="56" t="s">
        <v>539</v>
      </c>
    </row>
    <row r="26" spans="1:7" ht="12" customHeight="1" x14ac:dyDescent="0.3">
      <c r="A26" s="89" t="s">
        <v>548</v>
      </c>
      <c r="B26" s="89"/>
      <c r="C26" s="93">
        <v>22</v>
      </c>
      <c r="D26" s="93"/>
      <c r="E26" s="57" t="s">
        <v>539</v>
      </c>
    </row>
    <row r="27" spans="1:7" ht="12" customHeight="1" x14ac:dyDescent="0.3">
      <c r="A27" s="83" t="s">
        <v>549</v>
      </c>
      <c r="B27" s="83"/>
      <c r="C27" s="94">
        <v>26.6</v>
      </c>
      <c r="D27" s="94"/>
      <c r="E27" s="56" t="s">
        <v>550</v>
      </c>
    </row>
    <row r="28" spans="1:7" ht="12" customHeight="1" x14ac:dyDescent="0.3">
      <c r="A28" s="89" t="s">
        <v>551</v>
      </c>
      <c r="B28" s="89"/>
      <c r="C28" s="93">
        <v>85.8</v>
      </c>
      <c r="D28" s="93"/>
      <c r="E28" s="57" t="s">
        <v>552</v>
      </c>
    </row>
    <row r="29" spans="1:7" ht="12" customHeight="1" x14ac:dyDescent="0.3">
      <c r="A29" s="83" t="s">
        <v>553</v>
      </c>
      <c r="B29" s="83"/>
      <c r="C29" s="95">
        <v>71</v>
      </c>
      <c r="D29" s="95"/>
      <c r="E29" s="58"/>
    </row>
    <row r="30" spans="1:7" ht="12" customHeight="1" x14ac:dyDescent="0.3">
      <c r="A30" s="89" t="s">
        <v>554</v>
      </c>
      <c r="B30" s="89"/>
      <c r="C30" s="93" t="s">
        <v>555</v>
      </c>
      <c r="D30" s="93"/>
      <c r="E30" s="59"/>
    </row>
    <row r="31" spans="1:7" ht="12" customHeight="1" x14ac:dyDescent="0.3">
      <c r="A31" s="60" t="s">
        <v>556</v>
      </c>
      <c r="B31" s="49"/>
      <c r="C31" s="94"/>
      <c r="D31" s="94"/>
      <c r="E31" s="61" t="s">
        <v>557</v>
      </c>
    </row>
    <row r="32" spans="1:7" ht="12" customHeight="1" x14ac:dyDescent="0.3">
      <c r="A32" s="85" t="s">
        <v>558</v>
      </c>
      <c r="B32" s="85"/>
      <c r="C32" s="85"/>
      <c r="D32" s="85"/>
      <c r="E32" s="85"/>
      <c r="F32" s="45"/>
      <c r="G32" s="47"/>
    </row>
    <row r="33" spans="1:7" ht="12" customHeight="1" x14ac:dyDescent="0.3">
      <c r="A33" s="89" t="s">
        <v>559</v>
      </c>
      <c r="B33" s="89"/>
      <c r="C33" s="96">
        <v>33333</v>
      </c>
      <c r="D33" s="96"/>
      <c r="E33" s="57" t="s">
        <v>550</v>
      </c>
    </row>
    <row r="34" spans="1:7" ht="12" customHeight="1" x14ac:dyDescent="0.3">
      <c r="A34" s="83" t="s">
        <v>560</v>
      </c>
      <c r="B34" s="83"/>
      <c r="C34" s="98">
        <v>111</v>
      </c>
      <c r="D34" s="98"/>
      <c r="E34" s="56" t="s">
        <v>544</v>
      </c>
    </row>
    <row r="35" spans="1:7" ht="12" customHeight="1" x14ac:dyDescent="0.3">
      <c r="A35" s="89" t="s">
        <v>561</v>
      </c>
      <c r="B35" s="89"/>
      <c r="C35" s="96">
        <v>259.3</v>
      </c>
      <c r="D35" s="96"/>
      <c r="E35" s="57" t="s">
        <v>544</v>
      </c>
    </row>
    <row r="36" spans="1:7" ht="12" customHeight="1" x14ac:dyDescent="0.3">
      <c r="A36" s="83" t="s">
        <v>562</v>
      </c>
      <c r="B36" s="83"/>
      <c r="C36" s="97">
        <v>1513</v>
      </c>
      <c r="D36" s="97"/>
      <c r="E36" s="56" t="s">
        <v>563</v>
      </c>
    </row>
    <row r="37" spans="1:7" ht="12" customHeight="1" x14ac:dyDescent="0.3">
      <c r="A37" s="89" t="s">
        <v>564</v>
      </c>
      <c r="B37" s="89"/>
      <c r="C37" s="96">
        <v>2370</v>
      </c>
      <c r="D37" s="96"/>
      <c r="E37" s="57" t="s">
        <v>563</v>
      </c>
    </row>
    <row r="38" spans="1:7" ht="12" customHeight="1" x14ac:dyDescent="0.3">
      <c r="A38" s="83" t="s">
        <v>565</v>
      </c>
      <c r="B38" s="83"/>
      <c r="C38" s="97">
        <v>63</v>
      </c>
      <c r="D38" s="97"/>
      <c r="E38" s="56" t="s">
        <v>537</v>
      </c>
    </row>
    <row r="39" spans="1:7" ht="12" customHeight="1" x14ac:dyDescent="0.3">
      <c r="A39" s="89" t="s">
        <v>566</v>
      </c>
      <c r="B39" s="89"/>
      <c r="C39" s="93" t="s">
        <v>567</v>
      </c>
      <c r="D39" s="93"/>
      <c r="E39" s="62"/>
    </row>
    <row r="40" spans="1:7" ht="12" customHeight="1" x14ac:dyDescent="0.3">
      <c r="A40" s="83" t="s">
        <v>568</v>
      </c>
      <c r="B40" s="83"/>
      <c r="C40" s="94" t="s">
        <v>569</v>
      </c>
      <c r="D40" s="94"/>
      <c r="E40" s="56" t="s">
        <v>570</v>
      </c>
    </row>
    <row r="41" spans="1:7" ht="12" customHeight="1" x14ac:dyDescent="0.3">
      <c r="A41" s="89" t="s">
        <v>571</v>
      </c>
      <c r="B41" s="89"/>
      <c r="C41" s="93">
        <v>30</v>
      </c>
      <c r="D41" s="93"/>
      <c r="E41" s="57" t="s">
        <v>46</v>
      </c>
    </row>
    <row r="42" spans="1:7" ht="12" customHeight="1" x14ac:dyDescent="0.3">
      <c r="A42" s="83" t="s">
        <v>572</v>
      </c>
      <c r="B42" s="83"/>
      <c r="C42" s="94">
        <v>4.8</v>
      </c>
      <c r="D42" s="94"/>
      <c r="E42" s="56" t="s">
        <v>546</v>
      </c>
    </row>
    <row r="43" spans="1:7" ht="12" customHeight="1" x14ac:dyDescent="0.3">
      <c r="A43" s="85" t="s">
        <v>573</v>
      </c>
      <c r="B43" s="85"/>
      <c r="C43" s="85"/>
      <c r="D43" s="85"/>
      <c r="E43" s="85"/>
      <c r="F43" s="45"/>
      <c r="G43" s="47"/>
    </row>
    <row r="44" spans="1:7" ht="12" customHeight="1" x14ac:dyDescent="0.3">
      <c r="A44" s="89" t="s">
        <v>574</v>
      </c>
      <c r="B44" s="89"/>
      <c r="C44" s="99">
        <v>45.5</v>
      </c>
      <c r="D44" s="99"/>
      <c r="E44" s="57" t="s">
        <v>544</v>
      </c>
    </row>
    <row r="45" spans="1:7" ht="12" customHeight="1" x14ac:dyDescent="0.3">
      <c r="A45" s="83" t="s">
        <v>575</v>
      </c>
      <c r="B45" s="83"/>
      <c r="C45" s="97" t="s">
        <v>576</v>
      </c>
      <c r="D45" s="97"/>
      <c r="E45" s="56"/>
    </row>
    <row r="46" spans="1:7" ht="12" customHeight="1" x14ac:dyDescent="0.3">
      <c r="A46" s="89" t="s">
        <v>577</v>
      </c>
      <c r="B46" s="89"/>
      <c r="C46" s="96" t="s">
        <v>578</v>
      </c>
      <c r="D46" s="96"/>
      <c r="E46" s="57" t="s">
        <v>579</v>
      </c>
    </row>
    <row r="47" spans="1:7" ht="12" customHeight="1" x14ac:dyDescent="0.3">
      <c r="A47" s="83" t="s">
        <v>580</v>
      </c>
      <c r="B47" s="83"/>
      <c r="C47" s="100">
        <v>4</v>
      </c>
      <c r="D47" s="100"/>
      <c r="E47" s="61" t="s">
        <v>92</v>
      </c>
    </row>
    <row r="48" spans="1:7" ht="12" customHeight="1" x14ac:dyDescent="0.3">
      <c r="A48" s="85" t="s">
        <v>581</v>
      </c>
      <c r="B48" s="85"/>
      <c r="C48" s="85"/>
      <c r="D48" s="85"/>
      <c r="E48" s="85"/>
      <c r="F48" s="45"/>
      <c r="G48" s="47"/>
    </row>
    <row r="49" spans="1:7" ht="12" customHeight="1" x14ac:dyDescent="0.3">
      <c r="A49" s="89" t="s">
        <v>574</v>
      </c>
      <c r="B49" s="89"/>
      <c r="C49" s="99"/>
      <c r="D49" s="99"/>
      <c r="E49" s="57" t="s">
        <v>544</v>
      </c>
    </row>
    <row r="50" spans="1:7" ht="12" customHeight="1" x14ac:dyDescent="0.3">
      <c r="A50" s="83" t="s">
        <v>582</v>
      </c>
      <c r="B50" s="83"/>
      <c r="C50" s="97" t="s">
        <v>583</v>
      </c>
      <c r="D50" s="97"/>
      <c r="E50" s="56"/>
    </row>
    <row r="51" spans="1:7" ht="12" customHeight="1" x14ac:dyDescent="0.3">
      <c r="A51" s="89" t="s">
        <v>584</v>
      </c>
      <c r="B51" s="89"/>
      <c r="C51" s="96" t="s">
        <v>585</v>
      </c>
      <c r="D51" s="96"/>
      <c r="E51" s="57" t="s">
        <v>579</v>
      </c>
    </row>
    <row r="52" spans="1:7" ht="12" customHeight="1" x14ac:dyDescent="0.3">
      <c r="A52" s="83" t="s">
        <v>580</v>
      </c>
      <c r="B52" s="83"/>
      <c r="C52" s="100" t="s">
        <v>586</v>
      </c>
      <c r="D52" s="100"/>
      <c r="E52" s="61" t="s">
        <v>92</v>
      </c>
    </row>
    <row r="53" spans="1:7" ht="12" customHeight="1" x14ac:dyDescent="0.3">
      <c r="A53" s="42" t="s">
        <v>505</v>
      </c>
      <c r="B53" s="86" t="str">
        <f>B1</f>
        <v>Enter your data</v>
      </c>
      <c r="C53" s="86"/>
      <c r="D53" s="86"/>
      <c r="E53" s="86"/>
      <c r="F53" s="45"/>
      <c r="G53" s="44"/>
    </row>
    <row r="54" spans="1:7" ht="12" customHeight="1" x14ac:dyDescent="0.3">
      <c r="A54" s="42" t="s">
        <v>508</v>
      </c>
      <c r="B54" s="86" t="str">
        <f>B2</f>
        <v>Geniox Tera C Macro CRAH</v>
      </c>
      <c r="C54" s="86"/>
      <c r="D54" s="86"/>
      <c r="E54" s="86"/>
      <c r="F54" s="45"/>
      <c r="G54" s="44"/>
    </row>
    <row r="55" spans="1:7" ht="12" customHeight="1" x14ac:dyDescent="0.3">
      <c r="A55" s="42" t="s">
        <v>510</v>
      </c>
      <c r="B55" s="86" t="str">
        <f>B3</f>
        <v>TERA 170</v>
      </c>
      <c r="C55" s="86"/>
      <c r="D55" s="86"/>
      <c r="E55" s="86"/>
      <c r="F55" s="45"/>
      <c r="G55" s="44"/>
    </row>
    <row r="56" spans="1:7" ht="12" customHeight="1" x14ac:dyDescent="0.3">
      <c r="A56" s="85" t="s">
        <v>587</v>
      </c>
      <c r="B56" s="85"/>
      <c r="C56" s="85"/>
      <c r="D56" s="85"/>
      <c r="E56" s="85"/>
      <c r="F56" s="63"/>
      <c r="G56" s="43"/>
    </row>
    <row r="57" spans="1:7" ht="12" customHeight="1" x14ac:dyDescent="0.3">
      <c r="A57" s="86" t="s">
        <v>588</v>
      </c>
      <c r="B57" s="86"/>
      <c r="C57" s="101"/>
      <c r="D57" s="101"/>
      <c r="E57" s="101"/>
      <c r="F57" s="63"/>
      <c r="G57" s="43"/>
    </row>
    <row r="58" spans="1:7" ht="12" customHeight="1" x14ac:dyDescent="0.3">
      <c r="A58" s="102" t="s">
        <v>589</v>
      </c>
      <c r="B58" s="102"/>
      <c r="C58" s="103"/>
      <c r="D58" s="103"/>
      <c r="E58" s="103"/>
      <c r="F58" s="63"/>
      <c r="G58" s="43"/>
    </row>
    <row r="59" spans="1:7" ht="12" customHeight="1" x14ac:dyDescent="0.3">
      <c r="A59" s="86" t="s">
        <v>590</v>
      </c>
      <c r="B59" s="86"/>
      <c r="C59" s="101"/>
      <c r="D59" s="101"/>
      <c r="E59" s="101"/>
      <c r="F59" s="63"/>
      <c r="G59" s="43"/>
    </row>
    <row r="60" spans="1:7" ht="12" customHeight="1" x14ac:dyDescent="0.3">
      <c r="A60" s="102" t="s">
        <v>71</v>
      </c>
      <c r="B60" s="102"/>
      <c r="C60" s="103"/>
      <c r="D60" s="103"/>
      <c r="E60" s="103"/>
      <c r="F60" s="63"/>
      <c r="G60" s="43"/>
    </row>
    <row r="61" spans="1:7" ht="12" customHeight="1" x14ac:dyDescent="0.3">
      <c r="A61" s="86" t="s">
        <v>9</v>
      </c>
      <c r="B61" s="86"/>
      <c r="C61" s="101"/>
      <c r="D61" s="101"/>
      <c r="E61" s="101"/>
      <c r="F61" s="63"/>
      <c r="G61" s="43"/>
    </row>
    <row r="62" spans="1:7" ht="12" customHeight="1" x14ac:dyDescent="0.3">
      <c r="A62" s="102" t="s">
        <v>520</v>
      </c>
      <c r="B62" s="102"/>
      <c r="C62" s="103"/>
      <c r="D62" s="103"/>
      <c r="E62" s="103"/>
      <c r="F62" s="63"/>
      <c r="G62" s="43"/>
    </row>
    <row r="63" spans="1:7" ht="12" customHeight="1" x14ac:dyDescent="0.3">
      <c r="A63" s="86" t="s">
        <v>591</v>
      </c>
      <c r="B63" s="86"/>
      <c r="C63" s="101"/>
      <c r="D63" s="101"/>
      <c r="E63" s="101"/>
      <c r="F63" s="63"/>
      <c r="G63" s="43"/>
    </row>
    <row r="64" spans="1:7" ht="12" customHeight="1" x14ac:dyDescent="0.3">
      <c r="A64" s="102" t="s">
        <v>592</v>
      </c>
      <c r="B64" s="102"/>
      <c r="C64" s="103"/>
      <c r="D64" s="103"/>
      <c r="E64" s="103"/>
      <c r="F64" s="63"/>
      <c r="G64" s="43"/>
    </row>
    <row r="65" spans="1:7" ht="12" customHeight="1" x14ac:dyDescent="0.3">
      <c r="A65" s="86" t="s">
        <v>593</v>
      </c>
      <c r="B65" s="86"/>
      <c r="C65" s="101"/>
      <c r="D65" s="101"/>
      <c r="E65" s="101"/>
      <c r="F65" s="63"/>
      <c r="G65" s="43"/>
    </row>
    <row r="66" spans="1:7" ht="12" customHeight="1" x14ac:dyDescent="0.3">
      <c r="A66" s="102" t="s">
        <v>14</v>
      </c>
      <c r="B66" s="102"/>
      <c r="C66" s="103"/>
      <c r="D66" s="103"/>
      <c r="E66" s="103"/>
      <c r="F66" s="63"/>
      <c r="G66" s="43"/>
    </row>
    <row r="67" spans="1:7" ht="12" customHeight="1" x14ac:dyDescent="0.3">
      <c r="A67" s="86" t="s">
        <v>15</v>
      </c>
      <c r="B67" s="86"/>
      <c r="C67" s="101"/>
      <c r="D67" s="101"/>
      <c r="E67" s="101"/>
      <c r="F67" s="63"/>
      <c r="G67" s="43"/>
    </row>
    <row r="68" spans="1:7" ht="12" customHeight="1" x14ac:dyDescent="0.3">
      <c r="A68" s="102" t="s">
        <v>16</v>
      </c>
      <c r="B68" s="102"/>
      <c r="C68" s="103"/>
      <c r="D68" s="103"/>
      <c r="E68" s="103"/>
      <c r="F68" s="63"/>
      <c r="G68" s="43"/>
    </row>
    <row r="69" spans="1:7" ht="12" customHeight="1" x14ac:dyDescent="0.3">
      <c r="A69" s="86" t="s">
        <v>17</v>
      </c>
      <c r="B69" s="86"/>
      <c r="C69" s="101"/>
      <c r="D69" s="101"/>
      <c r="E69" s="101"/>
      <c r="F69" s="63"/>
      <c r="G69" s="43"/>
    </row>
    <row r="70" spans="1:7" ht="12" customHeight="1" x14ac:dyDescent="0.3">
      <c r="A70" s="102" t="s">
        <v>18</v>
      </c>
      <c r="B70" s="102"/>
      <c r="C70" s="103"/>
      <c r="D70" s="103"/>
      <c r="E70" s="103"/>
      <c r="F70" s="63"/>
      <c r="G70" s="43"/>
    </row>
    <row r="71" spans="1:7" ht="12" customHeight="1" x14ac:dyDescent="0.3">
      <c r="A71" s="86" t="s">
        <v>594</v>
      </c>
      <c r="B71" s="86"/>
      <c r="C71" s="101"/>
      <c r="D71" s="101"/>
      <c r="E71" s="101"/>
      <c r="F71" s="63"/>
      <c r="G71" s="43"/>
    </row>
    <row r="72" spans="1:7" ht="16.8" x14ac:dyDescent="0.3">
      <c r="A72" s="43"/>
      <c r="B72" s="43"/>
      <c r="C72" s="43"/>
      <c r="D72" s="43"/>
      <c r="E72" s="63"/>
      <c r="F72" s="63"/>
      <c r="G72" s="43"/>
    </row>
    <row r="73" spans="1:7" ht="16.8" x14ac:dyDescent="0.3">
      <c r="A73" s="43"/>
      <c r="B73" s="43"/>
      <c r="C73" s="43"/>
      <c r="D73" s="43"/>
      <c r="E73" s="63"/>
      <c r="F73" s="63"/>
      <c r="G73" s="43"/>
    </row>
    <row r="74" spans="1:7" ht="16.8" x14ac:dyDescent="0.3">
      <c r="A74" s="43"/>
      <c r="B74" s="43"/>
      <c r="C74" s="43"/>
      <c r="D74" s="43"/>
      <c r="E74" s="63"/>
      <c r="F74" s="63"/>
      <c r="G74" s="43"/>
    </row>
    <row r="75" spans="1:7" ht="16.8" x14ac:dyDescent="0.3">
      <c r="A75" s="43"/>
      <c r="B75" s="43"/>
      <c r="C75" s="43"/>
      <c r="D75" s="43"/>
      <c r="E75" s="63"/>
      <c r="F75" s="63"/>
      <c r="G75" s="43"/>
    </row>
    <row r="76" spans="1:7" ht="16.8" x14ac:dyDescent="0.3">
      <c r="A76" s="43"/>
      <c r="B76" s="43"/>
      <c r="C76" s="43"/>
      <c r="D76" s="43"/>
      <c r="E76" s="63"/>
      <c r="F76" s="63"/>
      <c r="G76" s="43"/>
    </row>
    <row r="77" spans="1:7" ht="16.8" x14ac:dyDescent="0.3">
      <c r="A77" s="43"/>
      <c r="B77" s="43"/>
      <c r="C77" s="43"/>
      <c r="D77" s="43"/>
      <c r="E77" s="63"/>
      <c r="F77" s="63"/>
      <c r="G77" s="43"/>
    </row>
    <row r="78" spans="1:7" ht="16.8" x14ac:dyDescent="0.3">
      <c r="A78" s="43"/>
      <c r="B78" s="43"/>
      <c r="C78" s="43"/>
      <c r="D78" s="43"/>
      <c r="E78" s="63"/>
      <c r="F78" s="63"/>
      <c r="G78" s="43"/>
    </row>
    <row r="79" spans="1:7" ht="16.8" x14ac:dyDescent="0.3">
      <c r="A79" s="43"/>
      <c r="B79" s="43"/>
      <c r="C79" s="43"/>
      <c r="D79" s="43"/>
      <c r="E79" s="63"/>
      <c r="F79" s="63"/>
      <c r="G79" s="43"/>
    </row>
    <row r="80" spans="1:7" ht="16.8" x14ac:dyDescent="0.3">
      <c r="A80" s="43"/>
      <c r="B80" s="43"/>
      <c r="C80" s="43"/>
      <c r="D80" s="43"/>
      <c r="E80" s="63"/>
      <c r="F80" s="63"/>
      <c r="G80" s="43"/>
    </row>
    <row r="81" spans="1:7" ht="16.8" x14ac:dyDescent="0.3">
      <c r="A81" s="43"/>
      <c r="B81" s="43"/>
      <c r="C81" s="43"/>
      <c r="D81" s="43"/>
      <c r="E81" s="63"/>
      <c r="F81" s="63"/>
      <c r="G81" s="43"/>
    </row>
    <row r="82" spans="1:7" ht="16.8" x14ac:dyDescent="0.3">
      <c r="A82" s="43"/>
      <c r="B82" s="43"/>
      <c r="C82" s="43"/>
      <c r="D82" s="43"/>
      <c r="E82" s="63"/>
      <c r="F82" s="63"/>
      <c r="G82" s="43"/>
    </row>
    <row r="83" spans="1:7" ht="16.8" x14ac:dyDescent="0.3">
      <c r="A83" s="43"/>
      <c r="B83" s="43"/>
      <c r="C83" s="43"/>
      <c r="D83" s="43"/>
      <c r="E83" s="63"/>
      <c r="F83" s="63"/>
      <c r="G83" s="43"/>
    </row>
    <row r="84" spans="1:7" ht="16.8" x14ac:dyDescent="0.3">
      <c r="A84" s="43"/>
      <c r="B84" s="43"/>
      <c r="C84" s="43"/>
      <c r="D84" s="43"/>
      <c r="E84" s="63"/>
      <c r="F84" s="63"/>
      <c r="G84" s="43"/>
    </row>
    <row r="85" spans="1:7" ht="16.8" x14ac:dyDescent="0.3">
      <c r="A85" s="43"/>
      <c r="B85" s="43"/>
      <c r="C85" s="43"/>
      <c r="D85" s="43"/>
      <c r="E85" s="63"/>
      <c r="F85" s="63"/>
      <c r="G85" s="43"/>
    </row>
    <row r="86" spans="1:7" ht="16.8" x14ac:dyDescent="0.3">
      <c r="A86" s="43"/>
      <c r="B86" s="43"/>
      <c r="C86" s="43"/>
      <c r="D86" s="43"/>
      <c r="E86" s="63"/>
      <c r="F86" s="63"/>
      <c r="G86" s="43"/>
    </row>
    <row r="87" spans="1:7" ht="16.8" x14ac:dyDescent="0.3">
      <c r="A87" s="43"/>
      <c r="B87" s="43"/>
      <c r="C87" s="43"/>
      <c r="D87" s="43"/>
      <c r="E87" s="63"/>
      <c r="F87" s="63"/>
      <c r="G87" s="43"/>
    </row>
    <row r="88" spans="1:7" ht="16.8" x14ac:dyDescent="0.3">
      <c r="A88" s="43"/>
      <c r="B88" s="43"/>
      <c r="C88" s="43"/>
      <c r="D88" s="43"/>
      <c r="E88" s="63"/>
      <c r="F88" s="63"/>
      <c r="G88" s="43"/>
    </row>
    <row r="89" spans="1:7" ht="16.8" x14ac:dyDescent="0.3">
      <c r="A89" s="43"/>
      <c r="B89" s="43"/>
      <c r="C89" s="43"/>
      <c r="D89" s="43"/>
      <c r="E89" s="63"/>
      <c r="F89" s="63"/>
      <c r="G89" s="43"/>
    </row>
    <row r="90" spans="1:7" ht="16.8" x14ac:dyDescent="0.3">
      <c r="A90" s="43"/>
      <c r="B90" s="43"/>
      <c r="C90" s="43"/>
      <c r="D90" s="43"/>
      <c r="E90" s="63"/>
      <c r="F90" s="63"/>
      <c r="G90" s="43"/>
    </row>
    <row r="91" spans="1:7" ht="16.8" x14ac:dyDescent="0.3">
      <c r="A91" s="43"/>
      <c r="B91" s="43"/>
      <c r="C91" s="43"/>
      <c r="D91" s="43"/>
      <c r="E91" s="63"/>
      <c r="F91" s="63"/>
      <c r="G91" s="43"/>
    </row>
    <row r="92" spans="1:7" ht="16.8" x14ac:dyDescent="0.3">
      <c r="A92" s="43"/>
      <c r="B92" s="43"/>
      <c r="C92" s="43"/>
      <c r="D92" s="43"/>
      <c r="E92" s="63"/>
      <c r="F92" s="63"/>
      <c r="G92" s="43"/>
    </row>
    <row r="93" spans="1:7" ht="16.8" x14ac:dyDescent="0.3">
      <c r="A93" s="43"/>
      <c r="B93" s="43"/>
      <c r="C93" s="43"/>
      <c r="D93" s="43"/>
      <c r="E93" s="63"/>
      <c r="F93" s="63"/>
      <c r="G93" s="43"/>
    </row>
    <row r="94" spans="1:7" ht="16.8" x14ac:dyDescent="0.3">
      <c r="A94" s="43"/>
      <c r="B94" s="43"/>
      <c r="C94" s="43"/>
      <c r="D94" s="43"/>
      <c r="E94" s="63"/>
      <c r="F94" s="63"/>
      <c r="G94" s="43"/>
    </row>
    <row r="95" spans="1:7" ht="16.8" x14ac:dyDescent="0.3">
      <c r="A95" s="43"/>
      <c r="B95" s="43"/>
      <c r="C95" s="43"/>
      <c r="D95" s="43"/>
      <c r="E95" s="63"/>
      <c r="F95" s="63"/>
      <c r="G95" s="43"/>
    </row>
    <row r="96" spans="1:7" ht="16.8" x14ac:dyDescent="0.3">
      <c r="A96" s="43"/>
      <c r="B96" s="43"/>
      <c r="C96" s="43"/>
      <c r="D96" s="43"/>
      <c r="E96" s="63"/>
      <c r="F96" s="63"/>
      <c r="G96" s="43"/>
    </row>
    <row r="97" spans="1:7" ht="16.8" x14ac:dyDescent="0.3">
      <c r="A97" s="43"/>
      <c r="B97" s="43"/>
      <c r="C97" s="43"/>
      <c r="D97" s="43"/>
      <c r="E97" s="63"/>
      <c r="F97" s="63"/>
      <c r="G97" s="43"/>
    </row>
    <row r="98" spans="1:7" ht="16.8" x14ac:dyDescent="0.3">
      <c r="A98" s="43"/>
      <c r="B98" s="43"/>
      <c r="C98" s="43"/>
      <c r="D98" s="43"/>
      <c r="E98" s="63"/>
      <c r="F98" s="63"/>
      <c r="G98" s="43"/>
    </row>
    <row r="99" spans="1:7" ht="16.8" x14ac:dyDescent="0.3">
      <c r="A99" s="43"/>
      <c r="B99" s="43"/>
      <c r="C99" s="43"/>
      <c r="D99" s="43"/>
      <c r="E99" s="63"/>
      <c r="F99" s="63"/>
      <c r="G99" s="43"/>
    </row>
    <row r="100" spans="1:7" ht="16.8" x14ac:dyDescent="0.3">
      <c r="A100" s="43"/>
      <c r="B100" s="43"/>
      <c r="C100" s="43"/>
      <c r="D100" s="43"/>
      <c r="E100" s="63"/>
      <c r="F100" s="63"/>
      <c r="G100" s="43"/>
    </row>
    <row r="101" spans="1:7" ht="16.8" x14ac:dyDescent="0.3">
      <c r="A101" s="43"/>
      <c r="B101" s="43"/>
      <c r="C101" s="43"/>
      <c r="D101" s="43"/>
      <c r="E101" s="63"/>
      <c r="F101" s="63"/>
      <c r="G101" s="43"/>
    </row>
    <row r="102" spans="1:7" ht="16.8" x14ac:dyDescent="0.3">
      <c r="A102" s="43"/>
      <c r="B102" s="43"/>
      <c r="C102" s="43"/>
      <c r="D102" s="43"/>
      <c r="E102" s="63"/>
      <c r="F102" s="63"/>
      <c r="G102" s="43"/>
    </row>
    <row r="103" spans="1:7" ht="16.8" x14ac:dyDescent="0.3">
      <c r="A103" s="43"/>
      <c r="B103" s="43"/>
      <c r="C103" s="43"/>
      <c r="D103" s="43"/>
      <c r="E103" s="63"/>
      <c r="F103" s="63"/>
      <c r="G103" s="43"/>
    </row>
    <row r="104" spans="1:7" ht="16.8" x14ac:dyDescent="0.3">
      <c r="A104" s="43"/>
      <c r="B104" s="43"/>
      <c r="C104" s="43"/>
      <c r="D104" s="43"/>
      <c r="E104" s="63"/>
      <c r="F104" s="63"/>
      <c r="G104" s="43"/>
    </row>
    <row r="105" spans="1:7" ht="16.8" x14ac:dyDescent="0.3">
      <c r="A105" s="43"/>
      <c r="B105" s="43"/>
      <c r="C105" s="43"/>
      <c r="D105" s="43"/>
      <c r="E105" s="63"/>
      <c r="F105" s="63"/>
      <c r="G105" s="43"/>
    </row>
    <row r="106" spans="1:7" ht="16.8" x14ac:dyDescent="0.3">
      <c r="A106" s="43"/>
      <c r="B106" s="43"/>
      <c r="C106" s="43"/>
      <c r="D106" s="43"/>
      <c r="E106" s="63"/>
      <c r="F106" s="63"/>
      <c r="G106" s="43"/>
    </row>
    <row r="107" spans="1:7" ht="16.8" x14ac:dyDescent="0.3">
      <c r="A107" s="43"/>
      <c r="B107" s="43"/>
      <c r="C107" s="43"/>
      <c r="D107" s="43"/>
      <c r="E107" s="63"/>
      <c r="F107" s="63"/>
      <c r="G107" s="43"/>
    </row>
    <row r="108" spans="1:7" ht="16.8" x14ac:dyDescent="0.3">
      <c r="A108" s="43"/>
      <c r="B108" s="43"/>
      <c r="C108" s="43"/>
      <c r="D108" s="43"/>
      <c r="E108" s="63"/>
      <c r="F108" s="63"/>
      <c r="G108" s="43"/>
    </row>
    <row r="109" spans="1:7" ht="16.8" x14ac:dyDescent="0.3">
      <c r="A109" s="43"/>
      <c r="B109" s="43"/>
      <c r="C109" s="43"/>
      <c r="D109" s="43"/>
      <c r="E109" s="63"/>
      <c r="F109" s="63"/>
      <c r="G109" s="43"/>
    </row>
    <row r="110" spans="1:7" ht="16.8" x14ac:dyDescent="0.3">
      <c r="A110" s="43"/>
      <c r="B110" s="43"/>
      <c r="C110" s="43"/>
      <c r="D110" s="43"/>
      <c r="E110" s="63"/>
      <c r="F110" s="63"/>
      <c r="G110" s="43"/>
    </row>
    <row r="111" spans="1:7" ht="16.8" x14ac:dyDescent="0.3">
      <c r="A111" s="43"/>
      <c r="B111" s="43"/>
      <c r="C111" s="43"/>
      <c r="D111" s="43"/>
      <c r="E111" s="63"/>
      <c r="F111" s="63"/>
      <c r="G111" s="43"/>
    </row>
    <row r="112" spans="1:7" ht="16.8" x14ac:dyDescent="0.3">
      <c r="A112" s="43"/>
      <c r="B112" s="43"/>
      <c r="C112" s="43"/>
      <c r="D112" s="43"/>
      <c r="E112" s="63"/>
      <c r="F112" s="63"/>
      <c r="G112" s="43"/>
    </row>
    <row r="113" spans="1:7" ht="16.8" x14ac:dyDescent="0.3">
      <c r="A113" s="43"/>
      <c r="B113" s="43"/>
      <c r="C113" s="43"/>
      <c r="D113" s="43"/>
      <c r="E113" s="63"/>
      <c r="F113" s="63"/>
      <c r="G113" s="43"/>
    </row>
    <row r="114" spans="1:7" ht="16.8" x14ac:dyDescent="0.3">
      <c r="A114" s="43"/>
      <c r="B114" s="43"/>
      <c r="C114" s="43"/>
      <c r="D114" s="43"/>
      <c r="E114" s="63"/>
      <c r="F114" s="63"/>
      <c r="G114" s="43"/>
    </row>
    <row r="115" spans="1:7" ht="16.8" x14ac:dyDescent="0.3">
      <c r="A115" s="43"/>
      <c r="B115" s="43"/>
      <c r="C115" s="43"/>
      <c r="D115" s="43"/>
      <c r="E115" s="63"/>
      <c r="F115" s="63"/>
      <c r="G115" s="43"/>
    </row>
    <row r="116" spans="1:7" ht="16.8" x14ac:dyDescent="0.3">
      <c r="A116" s="43"/>
      <c r="B116" s="43"/>
      <c r="C116" s="43"/>
      <c r="D116" s="43"/>
      <c r="E116" s="63"/>
      <c r="F116" s="63"/>
      <c r="G116" s="43"/>
    </row>
    <row r="117" spans="1:7" ht="16.8" x14ac:dyDescent="0.3">
      <c r="A117" s="43"/>
      <c r="B117" s="43"/>
      <c r="C117" s="43"/>
      <c r="D117" s="43"/>
      <c r="E117" s="63"/>
      <c r="F117" s="63"/>
      <c r="G117" s="43"/>
    </row>
    <row r="118" spans="1:7" ht="16.8" x14ac:dyDescent="0.3">
      <c r="A118" s="43"/>
      <c r="B118" s="43"/>
      <c r="C118" s="43"/>
      <c r="D118" s="43"/>
      <c r="E118" s="63"/>
      <c r="F118" s="63"/>
      <c r="G118" s="43"/>
    </row>
    <row r="119" spans="1:7" ht="16.8" x14ac:dyDescent="0.3">
      <c r="B119" s="43"/>
      <c r="C119" s="43"/>
      <c r="D119" s="43"/>
      <c r="E119" s="63"/>
      <c r="F119" s="63"/>
      <c r="G119" s="43"/>
    </row>
    <row r="120" spans="1:7" ht="16.8" x14ac:dyDescent="0.3">
      <c r="A120" s="43"/>
      <c r="B120" s="43"/>
      <c r="C120" s="43"/>
      <c r="D120" s="43"/>
      <c r="E120" s="63"/>
      <c r="F120" s="63"/>
      <c r="G120" s="43"/>
    </row>
    <row r="121" spans="1:7" ht="16.8" x14ac:dyDescent="0.3">
      <c r="A121" s="43"/>
      <c r="B121" s="43"/>
      <c r="C121" s="43"/>
      <c r="D121" s="43"/>
      <c r="E121" s="63"/>
      <c r="F121" s="63"/>
      <c r="G121" s="43"/>
    </row>
    <row r="122" spans="1:7" ht="16.8" x14ac:dyDescent="0.3">
      <c r="A122" s="43"/>
      <c r="B122" s="43"/>
      <c r="C122" s="43"/>
      <c r="D122" s="43"/>
      <c r="E122" s="63"/>
      <c r="F122" s="63"/>
      <c r="G122" s="43"/>
    </row>
    <row r="123" spans="1:7" ht="16.8" x14ac:dyDescent="0.3">
      <c r="A123" s="43"/>
      <c r="B123" s="43"/>
      <c r="C123" s="43"/>
      <c r="D123" s="43"/>
      <c r="E123" s="63"/>
      <c r="F123" s="63"/>
      <c r="G123" s="43"/>
    </row>
    <row r="124" spans="1:7" ht="16.8" x14ac:dyDescent="0.3">
      <c r="A124" s="43"/>
      <c r="B124" s="43"/>
      <c r="C124" s="43"/>
      <c r="D124" s="43"/>
      <c r="E124" s="63"/>
      <c r="F124" s="63"/>
      <c r="G124" s="43"/>
    </row>
    <row r="125" spans="1:7" ht="16.8" x14ac:dyDescent="0.3">
      <c r="A125" s="43"/>
      <c r="B125" s="43"/>
      <c r="C125" s="43"/>
      <c r="D125" s="43"/>
      <c r="E125" s="63"/>
      <c r="F125" s="63"/>
      <c r="G125" s="43"/>
    </row>
    <row r="126" spans="1:7" ht="16.8" x14ac:dyDescent="0.3">
      <c r="A126" s="43"/>
      <c r="B126" s="43"/>
      <c r="C126" s="43"/>
      <c r="D126" s="43"/>
      <c r="E126" s="63"/>
      <c r="F126" s="63"/>
      <c r="G126" s="43"/>
    </row>
    <row r="127" spans="1:7" ht="16.8" x14ac:dyDescent="0.3">
      <c r="A127" s="43"/>
      <c r="B127" s="43"/>
      <c r="C127" s="43"/>
      <c r="D127" s="43"/>
      <c r="E127" s="63"/>
      <c r="F127" s="63"/>
      <c r="G127" s="43"/>
    </row>
    <row r="128" spans="1:7" ht="16.8" x14ac:dyDescent="0.3">
      <c r="A128" s="43"/>
      <c r="B128" s="43"/>
      <c r="C128" s="43"/>
      <c r="D128" s="43"/>
      <c r="E128" s="63"/>
      <c r="F128" s="63"/>
      <c r="G128" s="43"/>
    </row>
    <row r="129" spans="1:7" ht="16.8" x14ac:dyDescent="0.3">
      <c r="A129" s="43"/>
      <c r="B129" s="43"/>
      <c r="C129" s="43"/>
      <c r="D129" s="43"/>
      <c r="E129" s="63"/>
      <c r="F129" s="63"/>
      <c r="G129" s="43"/>
    </row>
    <row r="130" spans="1:7" ht="16.8" x14ac:dyDescent="0.3">
      <c r="A130" s="43"/>
      <c r="B130" s="43"/>
      <c r="C130" s="43"/>
      <c r="D130" s="43"/>
      <c r="E130" s="63"/>
      <c r="F130" s="63"/>
      <c r="G130" s="43"/>
    </row>
    <row r="131" spans="1:7" x14ac:dyDescent="0.3">
      <c r="A131" s="64"/>
      <c r="B131" s="64"/>
      <c r="C131" s="64"/>
      <c r="D131" s="64"/>
      <c r="E131" s="65"/>
      <c r="F131" s="65"/>
      <c r="G131" s="64"/>
    </row>
    <row r="132" spans="1:7" x14ac:dyDescent="0.3">
      <c r="A132" s="64"/>
      <c r="B132" s="64"/>
      <c r="C132" s="64"/>
      <c r="D132" s="64"/>
      <c r="E132" s="65"/>
      <c r="F132" s="65"/>
      <c r="G132" s="64"/>
    </row>
    <row r="133" spans="1:7" x14ac:dyDescent="0.3">
      <c r="A133" s="64"/>
      <c r="B133" s="64"/>
      <c r="C133" s="64"/>
      <c r="D133" s="64"/>
      <c r="E133" s="65"/>
      <c r="F133" s="65"/>
      <c r="G133" s="64"/>
    </row>
    <row r="134" spans="1:7" x14ac:dyDescent="0.3">
      <c r="A134" s="64"/>
      <c r="B134" s="64"/>
      <c r="C134" s="64"/>
      <c r="D134" s="64"/>
      <c r="E134" s="65"/>
      <c r="F134" s="65"/>
      <c r="G134" s="64"/>
    </row>
    <row r="135" spans="1:7" x14ac:dyDescent="0.3">
      <c r="A135" s="64"/>
      <c r="B135" s="64"/>
      <c r="C135" s="64"/>
      <c r="D135" s="64"/>
      <c r="E135" s="65"/>
      <c r="F135" s="65"/>
      <c r="G135" s="64"/>
    </row>
    <row r="136" spans="1:7" x14ac:dyDescent="0.3">
      <c r="A136" s="64"/>
      <c r="B136" s="64"/>
      <c r="C136" s="64"/>
      <c r="D136" s="64"/>
      <c r="E136" s="65"/>
      <c r="F136" s="65"/>
      <c r="G136" s="64"/>
    </row>
    <row r="137" spans="1:7" x14ac:dyDescent="0.3">
      <c r="A137" s="64"/>
      <c r="B137" s="64"/>
      <c r="C137" s="64"/>
      <c r="D137" s="64"/>
      <c r="E137" s="65"/>
      <c r="F137" s="65"/>
      <c r="G137" s="64"/>
    </row>
    <row r="138" spans="1:7" x14ac:dyDescent="0.3">
      <c r="A138" s="64"/>
      <c r="B138" s="64"/>
      <c r="C138" s="64"/>
      <c r="D138" s="64"/>
      <c r="E138" s="65"/>
      <c r="F138" s="65"/>
      <c r="G138" s="64"/>
    </row>
    <row r="139" spans="1:7" x14ac:dyDescent="0.3">
      <c r="A139" s="64"/>
      <c r="B139" s="64"/>
      <c r="C139" s="64"/>
      <c r="D139" s="64"/>
      <c r="E139" s="65"/>
      <c r="F139" s="65"/>
      <c r="G139" s="64"/>
    </row>
    <row r="140" spans="1:7" x14ac:dyDescent="0.3">
      <c r="A140" s="64"/>
      <c r="B140" s="64"/>
      <c r="C140" s="64"/>
      <c r="D140" s="64"/>
      <c r="E140" s="65"/>
      <c r="F140" s="65"/>
      <c r="G140" s="64"/>
    </row>
    <row r="141" spans="1:7" x14ac:dyDescent="0.3">
      <c r="A141" s="64"/>
      <c r="B141" s="64"/>
      <c r="C141" s="64"/>
      <c r="D141" s="64"/>
      <c r="E141" s="65"/>
      <c r="F141" s="65"/>
      <c r="G141" s="64"/>
    </row>
    <row r="142" spans="1:7" x14ac:dyDescent="0.3">
      <c r="A142" s="64"/>
      <c r="B142" s="64"/>
      <c r="C142" s="64"/>
      <c r="D142" s="64"/>
      <c r="E142" s="65"/>
      <c r="F142" s="65"/>
      <c r="G142" s="64"/>
    </row>
    <row r="143" spans="1:7" x14ac:dyDescent="0.3">
      <c r="A143" s="64"/>
      <c r="B143" s="64"/>
      <c r="C143" s="64"/>
      <c r="D143" s="64"/>
      <c r="E143" s="65"/>
      <c r="F143" s="65"/>
      <c r="G143" s="64"/>
    </row>
    <row r="144" spans="1:7" x14ac:dyDescent="0.3">
      <c r="A144" s="64"/>
      <c r="B144" s="64"/>
      <c r="C144" s="64"/>
      <c r="D144" s="64"/>
      <c r="E144" s="65"/>
      <c r="F144" s="65"/>
      <c r="G144" s="64"/>
    </row>
    <row r="145" spans="1:7" x14ac:dyDescent="0.3">
      <c r="A145" s="64"/>
      <c r="B145" s="64"/>
      <c r="C145" s="64"/>
      <c r="D145" s="64"/>
      <c r="E145" s="65"/>
      <c r="F145" s="65"/>
      <c r="G145" s="64"/>
    </row>
    <row r="146" spans="1:7" x14ac:dyDescent="0.3">
      <c r="A146" s="64"/>
      <c r="B146" s="64"/>
      <c r="C146" s="64"/>
      <c r="D146" s="64"/>
      <c r="E146" s="65"/>
      <c r="F146" s="65"/>
      <c r="G146" s="64"/>
    </row>
  </sheetData>
  <mergeCells count="122">
    <mergeCell ref="A69:B69"/>
    <mergeCell ref="C69:E69"/>
    <mergeCell ref="A70:B70"/>
    <mergeCell ref="C70:E70"/>
    <mergeCell ref="A71:B71"/>
    <mergeCell ref="C71:E71"/>
    <mergeCell ref="A66:B66"/>
    <mergeCell ref="C66:E66"/>
    <mergeCell ref="A67:B67"/>
    <mergeCell ref="C67:E67"/>
    <mergeCell ref="A68:B68"/>
    <mergeCell ref="C68:E68"/>
    <mergeCell ref="A63:B63"/>
    <mergeCell ref="C63:E63"/>
    <mergeCell ref="A64:B64"/>
    <mergeCell ref="C64:E64"/>
    <mergeCell ref="A65:B65"/>
    <mergeCell ref="C65:E65"/>
    <mergeCell ref="A60:B60"/>
    <mergeCell ref="C60:E60"/>
    <mergeCell ref="A61:B61"/>
    <mergeCell ref="C61:E61"/>
    <mergeCell ref="A62:B62"/>
    <mergeCell ref="C62:E62"/>
    <mergeCell ref="A57:B57"/>
    <mergeCell ref="C57:E57"/>
    <mergeCell ref="A58:B58"/>
    <mergeCell ref="C58:E58"/>
    <mergeCell ref="A59:B59"/>
    <mergeCell ref="C59:E59"/>
    <mergeCell ref="A52:B52"/>
    <mergeCell ref="C52:D52"/>
    <mergeCell ref="B53:E53"/>
    <mergeCell ref="B54:E54"/>
    <mergeCell ref="B55:E55"/>
    <mergeCell ref="A56:E56"/>
    <mergeCell ref="A48:E48"/>
    <mergeCell ref="A49:B49"/>
    <mergeCell ref="C49:D49"/>
    <mergeCell ref="A50:B50"/>
    <mergeCell ref="C50:D50"/>
    <mergeCell ref="A51:B51"/>
    <mergeCell ref="C51:D51"/>
    <mergeCell ref="A45:B45"/>
    <mergeCell ref="C45:D45"/>
    <mergeCell ref="A46:B46"/>
    <mergeCell ref="C46:D46"/>
    <mergeCell ref="A47:B47"/>
    <mergeCell ref="C47:D47"/>
    <mergeCell ref="A41:B41"/>
    <mergeCell ref="C41:D41"/>
    <mergeCell ref="A42:B42"/>
    <mergeCell ref="C42:D42"/>
    <mergeCell ref="A43:E43"/>
    <mergeCell ref="A44:B44"/>
    <mergeCell ref="C44:D44"/>
    <mergeCell ref="A38:B38"/>
    <mergeCell ref="C38:D38"/>
    <mergeCell ref="A39:B39"/>
    <mergeCell ref="C39:D39"/>
    <mergeCell ref="A40:B40"/>
    <mergeCell ref="C40:D40"/>
    <mergeCell ref="A35:B35"/>
    <mergeCell ref="C35:D35"/>
    <mergeCell ref="A36:B36"/>
    <mergeCell ref="C36:D36"/>
    <mergeCell ref="A37:B37"/>
    <mergeCell ref="C37:D37"/>
    <mergeCell ref="C31:D31"/>
    <mergeCell ref="A32:E32"/>
    <mergeCell ref="A33:B33"/>
    <mergeCell ref="C33:D33"/>
    <mergeCell ref="A34:B34"/>
    <mergeCell ref="C34:D34"/>
    <mergeCell ref="A28:B28"/>
    <mergeCell ref="C28:D28"/>
    <mergeCell ref="A29:B29"/>
    <mergeCell ref="C29:D29"/>
    <mergeCell ref="A30:B30"/>
    <mergeCell ref="C30:D30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19:B19"/>
    <mergeCell ref="C19:D19"/>
    <mergeCell ref="A20:B20"/>
    <mergeCell ref="C20:D20"/>
    <mergeCell ref="A21:B21"/>
    <mergeCell ref="C21:D21"/>
    <mergeCell ref="A15:C15"/>
    <mergeCell ref="D15:E15"/>
    <mergeCell ref="A16:C16"/>
    <mergeCell ref="D16:E16"/>
    <mergeCell ref="A17:E17"/>
    <mergeCell ref="A18:B18"/>
    <mergeCell ref="A12:C12"/>
    <mergeCell ref="D12:E12"/>
    <mergeCell ref="A13:C13"/>
    <mergeCell ref="D13:E13"/>
    <mergeCell ref="A14:C14"/>
    <mergeCell ref="D14:E14"/>
    <mergeCell ref="D7:E7"/>
    <mergeCell ref="D8:E8"/>
    <mergeCell ref="D9:E9"/>
    <mergeCell ref="A10:B10"/>
    <mergeCell ref="D10:E10"/>
    <mergeCell ref="A11:E11"/>
    <mergeCell ref="B1:E1"/>
    <mergeCell ref="B2:E2"/>
    <mergeCell ref="B3:E3"/>
    <mergeCell ref="A4:C4"/>
    <mergeCell ref="D5:E5"/>
    <mergeCell ref="D6:E6"/>
  </mergeCells>
  <pageMargins left="0.7" right="0.7" top="0.75" bottom="0.75" header="0.3" footer="0.3"/>
  <pageSetup orientation="portrait" r:id="rId1"/>
  <headerFooter>
    <oddHeader>&amp;R&amp;D</oddHeader>
    <oddFooter>&amp;L&amp;"Daxline Offc Pro,Normal"systemair.com.tr&amp;C&amp;P/&amp;N&amp;R&amp;G</oddFooter>
  </headerFooter>
  <rowBreaks count="2" manualBreakCount="2">
    <brk id="52" max="4" man="1"/>
    <brk id="71" max="4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tabSelected="1" zoomScale="85" zoomScaleNormal="85" zoomScaleSheetLayoutView="115" workbookViewId="0">
      <selection activeCell="C15" sqref="C15"/>
    </sheetView>
  </sheetViews>
  <sheetFormatPr defaultRowHeight="14.4" x14ac:dyDescent="0.3"/>
  <cols>
    <col min="1" max="1" width="29.6640625" bestFit="1" customWidth="1"/>
    <col min="2" max="2" width="29.33203125" bestFit="1" customWidth="1"/>
    <col min="3" max="3" width="210.88671875" bestFit="1" customWidth="1"/>
  </cols>
  <sheetData>
    <row r="1" spans="1:3" ht="16.2" x14ac:dyDescent="0.3">
      <c r="A1" s="16" t="s">
        <v>62</v>
      </c>
      <c r="B1" s="28">
        <v>30</v>
      </c>
      <c r="C1" s="23" t="s">
        <v>491</v>
      </c>
    </row>
    <row r="2" spans="1:3" ht="16.2" x14ac:dyDescent="0.3">
      <c r="A2" s="17" t="s">
        <v>0</v>
      </c>
      <c r="B2" s="19" t="s">
        <v>21</v>
      </c>
      <c r="C2" s="24" t="s">
        <v>55</v>
      </c>
    </row>
    <row r="3" spans="1:3" ht="16.2" x14ac:dyDescent="0.3">
      <c r="A3" s="17" t="s">
        <v>1</v>
      </c>
      <c r="B3" s="19" t="s">
        <v>25</v>
      </c>
      <c r="C3" s="24" t="s">
        <v>56</v>
      </c>
    </row>
    <row r="4" spans="1:3" ht="16.2" x14ac:dyDescent="0.3">
      <c r="A4" s="17" t="s">
        <v>2</v>
      </c>
      <c r="B4" s="19" t="s">
        <v>24</v>
      </c>
      <c r="C4" s="24" t="s">
        <v>57</v>
      </c>
    </row>
    <row r="5" spans="1:3" ht="16.2" x14ac:dyDescent="0.3">
      <c r="A5" s="17" t="s">
        <v>3</v>
      </c>
      <c r="B5" s="19">
        <v>0</v>
      </c>
      <c r="C5" s="24" t="s">
        <v>58</v>
      </c>
    </row>
    <row r="6" spans="1:3" ht="16.2" x14ac:dyDescent="0.3">
      <c r="A6" s="17" t="s">
        <v>4</v>
      </c>
      <c r="B6" s="19" t="s">
        <v>26</v>
      </c>
      <c r="C6" s="24" t="s">
        <v>59</v>
      </c>
    </row>
    <row r="7" spans="1:3" ht="16.2" x14ac:dyDescent="0.3">
      <c r="A7" s="17" t="s">
        <v>5</v>
      </c>
      <c r="B7" s="19">
        <v>0</v>
      </c>
      <c r="C7" s="24" t="s">
        <v>60</v>
      </c>
    </row>
    <row r="8" spans="1:3" ht="16.2" x14ac:dyDescent="0.3">
      <c r="A8" s="17" t="s">
        <v>6</v>
      </c>
      <c r="B8" s="19" t="s">
        <v>27</v>
      </c>
      <c r="C8" s="24" t="s">
        <v>68</v>
      </c>
    </row>
    <row r="9" spans="1:3" ht="16.2" x14ac:dyDescent="0.3">
      <c r="A9" s="17" t="s">
        <v>7</v>
      </c>
      <c r="B9" s="19" t="s">
        <v>27</v>
      </c>
      <c r="C9" s="24" t="s">
        <v>61</v>
      </c>
    </row>
    <row r="10" spans="1:3" ht="16.2" x14ac:dyDescent="0.3">
      <c r="A10" s="18" t="s">
        <v>8</v>
      </c>
      <c r="B10" s="19">
        <v>2</v>
      </c>
      <c r="C10" s="25" t="s">
        <v>69</v>
      </c>
    </row>
    <row r="11" spans="1:3" ht="16.2" x14ac:dyDescent="0.3">
      <c r="A11" s="18" t="s">
        <v>71</v>
      </c>
      <c r="B11" s="19">
        <v>0</v>
      </c>
      <c r="C11" s="25" t="s">
        <v>70</v>
      </c>
    </row>
    <row r="12" spans="1:3" ht="16.2" x14ac:dyDescent="0.3">
      <c r="A12" s="18" t="s">
        <v>9</v>
      </c>
      <c r="B12" s="19">
        <v>0</v>
      </c>
      <c r="C12" s="25" t="s">
        <v>78</v>
      </c>
    </row>
    <row r="13" spans="1:3" ht="16.2" x14ac:dyDescent="0.3">
      <c r="A13" s="17" t="s">
        <v>72</v>
      </c>
      <c r="B13" s="19">
        <v>0</v>
      </c>
      <c r="C13" s="24" t="s">
        <v>63</v>
      </c>
    </row>
    <row r="14" spans="1:3" ht="16.2" x14ac:dyDescent="0.3">
      <c r="A14" s="17" t="s">
        <v>73</v>
      </c>
      <c r="B14" s="19" t="s">
        <v>32</v>
      </c>
      <c r="C14" s="24" t="s">
        <v>79</v>
      </c>
    </row>
    <row r="15" spans="1:3" ht="16.2" x14ac:dyDescent="0.3">
      <c r="A15" s="17" t="s">
        <v>12</v>
      </c>
      <c r="B15" s="19">
        <v>0</v>
      </c>
      <c r="C15" s="24" t="s">
        <v>80</v>
      </c>
    </row>
    <row r="16" spans="1:3" ht="16.2" x14ac:dyDescent="0.3">
      <c r="A16" s="17" t="s">
        <v>13</v>
      </c>
      <c r="B16" s="19">
        <v>0</v>
      </c>
      <c r="C16" s="24" t="s">
        <v>74</v>
      </c>
    </row>
    <row r="17" spans="1:3" ht="16.2" x14ac:dyDescent="0.3">
      <c r="A17" s="17" t="s">
        <v>14</v>
      </c>
      <c r="B17" s="19">
        <v>0</v>
      </c>
      <c r="C17" s="24" t="s">
        <v>83</v>
      </c>
    </row>
    <row r="18" spans="1:3" ht="16.2" x14ac:dyDescent="0.3">
      <c r="A18" s="17" t="s">
        <v>15</v>
      </c>
      <c r="B18" s="19">
        <v>0</v>
      </c>
      <c r="C18" s="24" t="s">
        <v>64</v>
      </c>
    </row>
    <row r="19" spans="1:3" ht="16.2" x14ac:dyDescent="0.3">
      <c r="A19" s="17" t="s">
        <v>16</v>
      </c>
      <c r="B19" s="19" t="s">
        <v>32</v>
      </c>
      <c r="C19" s="24" t="s">
        <v>81</v>
      </c>
    </row>
    <row r="20" spans="1:3" ht="16.2" x14ac:dyDescent="0.3">
      <c r="A20" s="17" t="s">
        <v>17</v>
      </c>
      <c r="B20" s="19">
        <v>0</v>
      </c>
      <c r="C20" s="24" t="s">
        <v>65</v>
      </c>
    </row>
    <row r="21" spans="1:3" ht="16.2" x14ac:dyDescent="0.3">
      <c r="A21" s="17" t="s">
        <v>18</v>
      </c>
      <c r="B21" s="19">
        <v>0</v>
      </c>
      <c r="C21" s="24" t="s">
        <v>84</v>
      </c>
    </row>
    <row r="22" spans="1:3" ht="16.2" x14ac:dyDescent="0.3">
      <c r="A22" s="17" t="s">
        <v>19</v>
      </c>
      <c r="B22" s="19" t="s">
        <v>22</v>
      </c>
      <c r="C22" s="24" t="s">
        <v>66</v>
      </c>
    </row>
    <row r="23" spans="1:3" ht="16.2" x14ac:dyDescent="0.3">
      <c r="A23" s="17" t="s">
        <v>20</v>
      </c>
      <c r="B23" s="19">
        <v>1</v>
      </c>
      <c r="C23" s="24" t="s">
        <v>75</v>
      </c>
    </row>
    <row r="24" spans="1:3" ht="17.399999999999999" x14ac:dyDescent="0.3">
      <c r="A24" s="20" t="s">
        <v>67</v>
      </c>
      <c r="B24" s="22" t="str">
        <f>B1&amp;B2&amp;B3&amp;B4&amp;B5&amp;B6&amp;B7&amp;B8&amp;B9&amp;B10&amp;B11&amp;B12&amp;B13&amp;B14&amp;B15&amp;B16&amp;B17&amp;B18&amp;B19&amp;B20&amp;B21&amp;B22&amp;B23</f>
        <v>30BRL0H0SS2000N0000N00F1</v>
      </c>
      <c r="C24" s="104" t="s">
        <v>82</v>
      </c>
    </row>
    <row r="25" spans="1:3" ht="28.95" customHeight="1" thickBot="1" x14ac:dyDescent="0.35">
      <c r="A25" s="21"/>
      <c r="B25" s="27">
        <f>Sheet1!F218/0.6</f>
        <v>46893.436666666668</v>
      </c>
      <c r="C25" s="105"/>
    </row>
  </sheetData>
  <sheetProtection formatCells="0" formatColumns="0" formatRows="0" insertColumns="0" insertRows="0" insertHyperlinks="0" deleteColumns="0" deleteRows="0" sort="0" autoFilter="0" pivotTables="0"/>
  <mergeCells count="1">
    <mergeCell ref="C24:C25"/>
  </mergeCells>
  <pageMargins left="0.7" right="0.7" top="0.75" bottom="0.75" header="0.3" footer="0.3"/>
  <pageSetup scale="60" orientation="portrait" r:id="rId1"/>
  <colBreaks count="1" manualBreakCount="1">
    <brk id="3" max="22" man="1"/>
  </colBreaks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allowBlank="1" showInputMessage="1" showErrorMessage="1" xr:uid="{00000000-0002-0000-0100-000000000000}">
          <x14:formula1>
            <xm:f>Sayfa2!$B$4:$B$6</xm:f>
          </x14:formula1>
          <xm:sqref>B2</xm:sqref>
        </x14:dataValidation>
        <x14:dataValidation type="list" allowBlank="1" showInputMessage="1" showErrorMessage="1" xr:uid="{00000000-0002-0000-0100-000001000000}">
          <x14:formula1>
            <xm:f>Sayfa2!$B$7:$B$8</xm:f>
          </x14:formula1>
          <xm:sqref>B3</xm:sqref>
        </x14:dataValidation>
        <x14:dataValidation type="list" allowBlank="1" showInputMessage="1" showErrorMessage="1" xr:uid="{00000000-0002-0000-0100-000002000000}">
          <x14:formula1>
            <xm:f>Sayfa2!$B$9:$B$10</xm:f>
          </x14:formula1>
          <xm:sqref>B4</xm:sqref>
        </x14:dataValidation>
        <x14:dataValidation type="list" allowBlank="1" showInputMessage="1" showErrorMessage="1" xr:uid="{00000000-0002-0000-0100-000003000000}">
          <x14:formula1>
            <xm:f>Sayfa2!$B$11:$B$12</xm:f>
          </x14:formula1>
          <xm:sqref>B5</xm:sqref>
        </x14:dataValidation>
        <x14:dataValidation type="list" allowBlank="1" showInputMessage="1" showErrorMessage="1" xr:uid="{00000000-0002-0000-0100-000004000000}">
          <x14:formula1>
            <xm:f>Sayfa2!$B$13:$B$15</xm:f>
          </x14:formula1>
          <xm:sqref>B6</xm:sqref>
        </x14:dataValidation>
        <x14:dataValidation type="list" allowBlank="1" showInputMessage="1" showErrorMessage="1" xr:uid="{00000000-0002-0000-0100-000005000000}">
          <x14:formula1>
            <xm:f>Sayfa2!$B$16:$B$17</xm:f>
          </x14:formula1>
          <xm:sqref>B7</xm:sqref>
        </x14:dataValidation>
        <x14:dataValidation type="list" allowBlank="1" showInputMessage="1" showErrorMessage="1" xr:uid="{00000000-0002-0000-0100-000006000000}">
          <x14:formula1>
            <xm:f>Sayfa2!$B$18:$B$19</xm:f>
          </x14:formula1>
          <xm:sqref>B8</xm:sqref>
        </x14:dataValidation>
        <x14:dataValidation type="list" allowBlank="1" showInputMessage="1" showErrorMessage="1" xr:uid="{00000000-0002-0000-0100-000007000000}">
          <x14:formula1>
            <xm:f>Sayfa2!$B$20:$B$21</xm:f>
          </x14:formula1>
          <xm:sqref>B9</xm:sqref>
        </x14:dataValidation>
        <x14:dataValidation type="list" allowBlank="1" showInputMessage="1" showErrorMessage="1" xr:uid="{00000000-0002-0000-0100-000008000000}">
          <x14:formula1>
            <xm:f>Sayfa2!$B$22:$B$27</xm:f>
          </x14:formula1>
          <xm:sqref>B10</xm:sqref>
        </x14:dataValidation>
        <x14:dataValidation type="list" allowBlank="1" showInputMessage="1" showErrorMessage="1" xr:uid="{00000000-0002-0000-0100-000009000000}">
          <x14:formula1>
            <xm:f>Sayfa2!$B$28:$B$33</xm:f>
          </x14:formula1>
          <xm:sqref>B11</xm:sqref>
        </x14:dataValidation>
        <x14:dataValidation type="list" allowBlank="1" showInputMessage="1" showErrorMessage="1" xr:uid="{00000000-0002-0000-0100-00000A000000}">
          <x14:formula1>
            <xm:f>Sayfa2!$B$34:$B$35</xm:f>
          </x14:formula1>
          <xm:sqref>B13</xm:sqref>
        </x14:dataValidation>
        <x14:dataValidation type="list" allowBlank="1" showInputMessage="1" showErrorMessage="1" xr:uid="{00000000-0002-0000-0100-00000B000000}">
          <x14:formula1>
            <xm:f>Sayfa2!$B$36:$B$39</xm:f>
          </x14:formula1>
          <xm:sqref>B14</xm:sqref>
        </x14:dataValidation>
        <x14:dataValidation type="list" allowBlank="1" showInputMessage="1" showErrorMessage="1" xr:uid="{00000000-0002-0000-0100-00000C000000}">
          <x14:formula1>
            <xm:f>Sayfa2!$B$42:$B$44</xm:f>
          </x14:formula1>
          <xm:sqref>B16</xm:sqref>
        </x14:dataValidation>
        <x14:dataValidation type="list" allowBlank="1" showInputMessage="1" showErrorMessage="1" xr:uid="{00000000-0002-0000-0100-00000D000000}">
          <x14:formula1>
            <xm:f>Sayfa2!$B$45:$B$47</xm:f>
          </x14:formula1>
          <xm:sqref>B17</xm:sqref>
        </x14:dataValidation>
        <x14:dataValidation type="list" allowBlank="1" showInputMessage="1" showErrorMessage="1" xr:uid="{00000000-0002-0000-0100-00000E000000}">
          <x14:formula1>
            <xm:f>Sayfa2!$B$48:$B$49</xm:f>
          </x14:formula1>
          <xm:sqref>B18</xm:sqref>
        </x14:dataValidation>
        <x14:dataValidation type="list" allowBlank="1" showInputMessage="1" showErrorMessage="1" xr:uid="{00000000-0002-0000-0100-00000F000000}">
          <x14:formula1>
            <xm:f>Sayfa2!$B$50:$B$54</xm:f>
          </x14:formula1>
          <xm:sqref>B19</xm:sqref>
        </x14:dataValidation>
        <x14:dataValidation type="list" allowBlank="1" showInputMessage="1" showErrorMessage="1" xr:uid="{00000000-0002-0000-0100-000010000000}">
          <x14:formula1>
            <xm:f>Sayfa2!$B$55:$B$59</xm:f>
          </x14:formula1>
          <xm:sqref>B20</xm:sqref>
        </x14:dataValidation>
        <x14:dataValidation type="list" allowBlank="1" showInputMessage="1" showErrorMessage="1" xr:uid="{00000000-0002-0000-0100-000011000000}">
          <x14:formula1>
            <xm:f>Sayfa2!$B$60:$B$63</xm:f>
          </x14:formula1>
          <xm:sqref>B21</xm:sqref>
        </x14:dataValidation>
        <x14:dataValidation type="list" allowBlank="1" showInputMessage="1" showErrorMessage="1" xr:uid="{00000000-0002-0000-0100-000012000000}">
          <x14:formula1>
            <xm:f>Sayfa2!$B$64:$B$66</xm:f>
          </x14:formula1>
          <xm:sqref>B22</xm:sqref>
        </x14:dataValidation>
        <x14:dataValidation type="list" allowBlank="1" showInputMessage="1" showErrorMessage="1" xr:uid="{00000000-0002-0000-0100-000013000000}">
          <x14:formula1>
            <xm:f>Sayfa2!$B$67:$B$68</xm:f>
          </x14:formula1>
          <xm:sqref>B23</xm:sqref>
        </x14:dataValidation>
        <x14:dataValidation type="list" allowBlank="1" showInputMessage="1" showErrorMessage="1" xr:uid="{00000000-0002-0000-0100-000014000000}">
          <x14:formula1>
            <xm:f>Sayfa2!$B$69:$B$71</xm:f>
          </x14:formula1>
          <xm:sqref>B12</xm:sqref>
        </x14:dataValidation>
        <x14:dataValidation type="list" allowBlank="1" showInputMessage="1" showErrorMessage="1" xr:uid="{00000000-0002-0000-0100-000015000000}">
          <x14:formula1>
            <xm:f>Sayfa2!$B$40:$B$41</xm:f>
          </x14:formula1>
          <xm:sqref>B15</xm:sqref>
        </x14:dataValidation>
        <x14:dataValidation type="list" showInputMessage="1" showErrorMessage="1" promptTitle="Please Selection" xr:uid="{00000000-0002-0000-0100-000016000000}">
          <x14:formula1>
            <xm:f>Sayfa2!$B$1:$B$3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9"/>
  <sheetViews>
    <sheetView zoomScaleNormal="100" workbookViewId="0">
      <selection activeCell="F3" sqref="F3"/>
    </sheetView>
  </sheetViews>
  <sheetFormatPr defaultColWidth="15.44140625" defaultRowHeight="16.2" x14ac:dyDescent="0.3"/>
  <cols>
    <col min="2" max="2" width="19.6640625" bestFit="1" customWidth="1"/>
    <col min="3" max="3" width="75.6640625" bestFit="1" customWidth="1"/>
    <col min="4" max="4" width="11.6640625" style="29" customWidth="1"/>
    <col min="5" max="5" width="4.5546875" style="31" bestFit="1" customWidth="1"/>
    <col min="7" max="7" width="15.44140625" customWidth="1"/>
    <col min="8" max="8" width="17.5546875" bestFit="1" customWidth="1"/>
  </cols>
  <sheetData>
    <row r="1" spans="1:7" ht="32.4" x14ac:dyDescent="0.3">
      <c r="A1" s="40" t="s">
        <v>237</v>
      </c>
      <c r="B1" s="33" t="s">
        <v>85</v>
      </c>
      <c r="C1" s="34" t="s">
        <v>86</v>
      </c>
      <c r="D1" s="35" t="s">
        <v>87</v>
      </c>
      <c r="E1" s="34" t="s">
        <v>88</v>
      </c>
      <c r="F1" s="34" t="s">
        <v>472</v>
      </c>
      <c r="G1" s="34" t="s">
        <v>473</v>
      </c>
    </row>
    <row r="2" spans="1:7" x14ac:dyDescent="0.3">
      <c r="A2" s="80" t="s">
        <v>272</v>
      </c>
      <c r="B2" s="36" t="s">
        <v>261</v>
      </c>
      <c r="C2" s="32" t="s">
        <v>262</v>
      </c>
      <c r="D2" s="35">
        <f>IF('Selection List'!B1=17,75.16,IF('Selection List'!B1=23,87.28,IF('Selection List'!B1=30,97.52,"VEYY")))</f>
        <v>97.52</v>
      </c>
      <c r="E2" s="34" t="s">
        <v>92</v>
      </c>
      <c r="F2" s="41">
        <v>45</v>
      </c>
      <c r="G2" s="41">
        <f>D2*F2</f>
        <v>4388.3999999999996</v>
      </c>
    </row>
    <row r="3" spans="1:7" x14ac:dyDescent="0.3">
      <c r="A3" s="80"/>
      <c r="B3" s="36" t="s">
        <v>263</v>
      </c>
      <c r="C3" s="32" t="s">
        <v>264</v>
      </c>
      <c r="D3" s="35">
        <f>IF('Selection List'!B1=17,13.75,IF('Selection List'!B1=23,18.77,IF('Selection List'!B1=30,21.39,"VEYY")))</f>
        <v>21.39</v>
      </c>
      <c r="E3" s="34" t="s">
        <v>92</v>
      </c>
      <c r="F3" s="41">
        <v>15</v>
      </c>
      <c r="G3" s="41">
        <f t="shared" ref="G3:G66" si="0">D3*F3</f>
        <v>320.85000000000002</v>
      </c>
    </row>
    <row r="4" spans="1:7" x14ac:dyDescent="0.3">
      <c r="A4" s="80"/>
      <c r="B4" s="36" t="s">
        <v>621</v>
      </c>
      <c r="C4" s="32" t="s">
        <v>622</v>
      </c>
      <c r="D4" s="35">
        <f>IF('Selection List'!B1=17,19.3,IF('Selection List'!B1=23,25.83,IF('Selection List'!B1=30,27.8,"VEYY")))</f>
        <v>27.8</v>
      </c>
      <c r="E4" s="34" t="s">
        <v>92</v>
      </c>
      <c r="F4" s="41">
        <v>45</v>
      </c>
      <c r="G4" s="41">
        <f t="shared" si="0"/>
        <v>1251</v>
      </c>
    </row>
    <row r="5" spans="1:7" x14ac:dyDescent="0.3">
      <c r="A5" s="79" t="s">
        <v>90</v>
      </c>
      <c r="B5" s="36" t="s">
        <v>238</v>
      </c>
      <c r="C5" s="32" t="s">
        <v>239</v>
      </c>
      <c r="D5" s="34">
        <f>IF(AND('Selection List'!B1=17,'Selection List'!B4="L"),1,0)</f>
        <v>0</v>
      </c>
      <c r="E5" s="34" t="s">
        <v>92</v>
      </c>
      <c r="F5" s="41">
        <v>4043</v>
      </c>
      <c r="G5" s="41">
        <f t="shared" si="0"/>
        <v>0</v>
      </c>
    </row>
    <row r="6" spans="1:7" x14ac:dyDescent="0.3">
      <c r="A6" s="79"/>
      <c r="B6" s="36" t="s">
        <v>240</v>
      </c>
      <c r="C6" s="32" t="s">
        <v>241</v>
      </c>
      <c r="D6" s="34">
        <f>IF(AND('Selection List'!B1=17,'Selection List'!B4="H"),1,0)</f>
        <v>0</v>
      </c>
      <c r="E6" s="34" t="s">
        <v>92</v>
      </c>
      <c r="F6" s="41">
        <v>4626</v>
      </c>
      <c r="G6" s="41">
        <f t="shared" si="0"/>
        <v>0</v>
      </c>
    </row>
    <row r="7" spans="1:7" x14ac:dyDescent="0.3">
      <c r="A7" s="79"/>
      <c r="B7" s="36" t="s">
        <v>242</v>
      </c>
      <c r="C7" s="32" t="s">
        <v>243</v>
      </c>
      <c r="D7" s="34">
        <f>IF(AND('Selection List'!B1=23,'Selection List'!B4="L"),1,0)</f>
        <v>0</v>
      </c>
      <c r="E7" s="34" t="s">
        <v>92</v>
      </c>
      <c r="F7" s="41">
        <v>7168</v>
      </c>
      <c r="G7" s="41">
        <f t="shared" si="0"/>
        <v>0</v>
      </c>
    </row>
    <row r="8" spans="1:7" x14ac:dyDescent="0.3">
      <c r="A8" s="79"/>
      <c r="B8" s="36" t="s">
        <v>244</v>
      </c>
      <c r="C8" s="32" t="s">
        <v>245</v>
      </c>
      <c r="D8" s="34">
        <f>IF(AND('Selection List'!B1=23,'Selection List'!B4="H"),1,0)</f>
        <v>0</v>
      </c>
      <c r="E8" s="34" t="s">
        <v>92</v>
      </c>
      <c r="F8" s="41">
        <v>7962</v>
      </c>
      <c r="G8" s="41">
        <f t="shared" si="0"/>
        <v>0</v>
      </c>
    </row>
    <row r="9" spans="1:7" x14ac:dyDescent="0.3">
      <c r="A9" s="79"/>
      <c r="B9" s="36" t="s">
        <v>89</v>
      </c>
      <c r="C9" s="32" t="s">
        <v>91</v>
      </c>
      <c r="D9" s="34">
        <f>IF(AND('Selection List'!B1=30,'Selection List'!B4="L"),1,0)</f>
        <v>1</v>
      </c>
      <c r="E9" s="34" t="s">
        <v>92</v>
      </c>
      <c r="F9" s="41">
        <v>8572</v>
      </c>
      <c r="G9" s="41">
        <f t="shared" si="0"/>
        <v>8572</v>
      </c>
    </row>
    <row r="10" spans="1:7" x14ac:dyDescent="0.3">
      <c r="A10" s="79"/>
      <c r="B10" s="36" t="s">
        <v>93</v>
      </c>
      <c r="C10" s="32" t="s">
        <v>94</v>
      </c>
      <c r="D10" s="34">
        <f>IF(AND('Selection List'!B1=30,'Selection List'!B4="H"),1,0)</f>
        <v>0</v>
      </c>
      <c r="E10" s="34" t="s">
        <v>92</v>
      </c>
      <c r="F10" s="41">
        <v>9585</v>
      </c>
      <c r="G10" s="41">
        <f t="shared" si="0"/>
        <v>0</v>
      </c>
    </row>
    <row r="11" spans="1:7" x14ac:dyDescent="0.3">
      <c r="A11" s="79" t="s">
        <v>96</v>
      </c>
      <c r="B11" s="36" t="s">
        <v>95</v>
      </c>
      <c r="C11" s="32" t="s">
        <v>97</v>
      </c>
      <c r="D11" s="34" cm="1">
        <f t="array" ref="D11">IF('Selection List'!B17=2,0,IF('Selection List'!B1=17,3,IF('Selection List'!B1=23,4,IF('Selection List'!B1=30,5,veyy))))</f>
        <v>5</v>
      </c>
      <c r="E11" s="34" t="s">
        <v>92</v>
      </c>
      <c r="F11" s="41">
        <v>812.4</v>
      </c>
      <c r="G11" s="41">
        <f t="shared" si="0"/>
        <v>4062</v>
      </c>
    </row>
    <row r="12" spans="1:7" x14ac:dyDescent="0.3">
      <c r="A12" s="79"/>
      <c r="B12" s="36" t="s">
        <v>98</v>
      </c>
      <c r="C12" s="32" t="s">
        <v>99</v>
      </c>
      <c r="D12" s="34">
        <f>IF('Selection List'!B17=2,IF('Selection List'!B1=17,3,IF('Selection List'!B1=23,4,IF('Selection List'!B1=30,5,"0"))),0)</f>
        <v>0</v>
      </c>
      <c r="E12" s="34" t="s">
        <v>92</v>
      </c>
      <c r="F12" s="41">
        <v>958</v>
      </c>
      <c r="G12" s="41">
        <f t="shared" si="0"/>
        <v>0</v>
      </c>
    </row>
    <row r="13" spans="1:7" x14ac:dyDescent="0.3">
      <c r="A13" s="34" t="s">
        <v>478</v>
      </c>
      <c r="B13" s="36" t="s">
        <v>492</v>
      </c>
      <c r="C13" s="32" t="s">
        <v>484</v>
      </c>
      <c r="D13" s="34">
        <f>IF('Selection List'!B5="S",1,0)</f>
        <v>0</v>
      </c>
      <c r="E13" s="34" t="s">
        <v>476</v>
      </c>
      <c r="F13" s="41">
        <v>1231</v>
      </c>
      <c r="G13" s="41">
        <f t="shared" si="0"/>
        <v>0</v>
      </c>
    </row>
    <row r="14" spans="1:7" x14ac:dyDescent="0.3">
      <c r="A14" s="33" t="s">
        <v>246</v>
      </c>
      <c r="B14" s="36" t="s">
        <v>100</v>
      </c>
      <c r="C14" s="32" t="s">
        <v>101</v>
      </c>
      <c r="D14" s="34">
        <v>1</v>
      </c>
      <c r="E14" s="34" t="s">
        <v>92</v>
      </c>
      <c r="F14" s="41">
        <v>385</v>
      </c>
      <c r="G14" s="41">
        <f t="shared" si="0"/>
        <v>385</v>
      </c>
    </row>
    <row r="15" spans="1:7" x14ac:dyDescent="0.3">
      <c r="A15" s="79" t="s">
        <v>103</v>
      </c>
      <c r="B15" s="36" t="s">
        <v>247</v>
      </c>
      <c r="C15" s="32" t="s">
        <v>248</v>
      </c>
      <c r="D15" s="34">
        <f>IF(AND('Selection List'!B1=17,(OR('Selection List'!B2="F",'Selection List'!B2="B"))),6,0)</f>
        <v>0</v>
      </c>
      <c r="E15" s="34" t="s">
        <v>92</v>
      </c>
      <c r="F15" s="41">
        <v>12.42</v>
      </c>
      <c r="G15" s="41">
        <f t="shared" si="0"/>
        <v>0</v>
      </c>
    </row>
    <row r="16" spans="1:7" x14ac:dyDescent="0.3">
      <c r="A16" s="79"/>
      <c r="B16" s="36" t="s">
        <v>249</v>
      </c>
      <c r="C16" s="32" t="s">
        <v>250</v>
      </c>
      <c r="D16" s="34">
        <f>IF(AND('Selection List'!B1=23,(OR('Selection List'!B2="F",'Selection List'!B2="B"))),8,0)</f>
        <v>0</v>
      </c>
      <c r="E16" s="34" t="s">
        <v>92</v>
      </c>
      <c r="F16" s="41">
        <v>11.74</v>
      </c>
      <c r="G16" s="41">
        <f t="shared" si="0"/>
        <v>0</v>
      </c>
    </row>
    <row r="17" spans="1:7" x14ac:dyDescent="0.3">
      <c r="A17" s="79"/>
      <c r="B17" s="36" t="s">
        <v>102</v>
      </c>
      <c r="C17" s="32" t="s">
        <v>104</v>
      </c>
      <c r="D17" s="34">
        <f>IF(AND('Selection List'!B1=30,(OR('Selection List'!B2="F",'Selection List'!B2="B"))),10,0)</f>
        <v>10</v>
      </c>
      <c r="E17" s="34" t="s">
        <v>92</v>
      </c>
      <c r="F17" s="41">
        <v>50.68</v>
      </c>
      <c r="G17" s="41">
        <f t="shared" si="0"/>
        <v>506.8</v>
      </c>
    </row>
    <row r="18" spans="1:7" x14ac:dyDescent="0.3">
      <c r="A18" s="79"/>
      <c r="B18" s="36" t="s">
        <v>105</v>
      </c>
      <c r="C18" s="32" t="s">
        <v>106</v>
      </c>
      <c r="D18" s="34">
        <f>IF('Selection List'!B2="M",1,0)</f>
        <v>0</v>
      </c>
      <c r="E18" s="34" t="s">
        <v>92</v>
      </c>
      <c r="F18" s="41">
        <v>7.96</v>
      </c>
      <c r="G18" s="41">
        <f t="shared" si="0"/>
        <v>0</v>
      </c>
    </row>
    <row r="19" spans="1:7" x14ac:dyDescent="0.3">
      <c r="A19" s="79"/>
      <c r="B19" s="36" t="s">
        <v>107</v>
      </c>
      <c r="C19" s="32" t="s">
        <v>108</v>
      </c>
      <c r="D19" s="34">
        <f>IF(AND('Selection List'!B2="M",'Selection List'!B1=17),4,IF(AND('Selection List'!B2="M",'Selection List'!B1=23),6,IF(AND('Selection List'!B2="M",'Selection List'!B1=30),8,0)))</f>
        <v>0</v>
      </c>
      <c r="E19" s="34" t="s">
        <v>92</v>
      </c>
      <c r="F19" s="41">
        <v>11.54</v>
      </c>
      <c r="G19" s="41">
        <f t="shared" si="0"/>
        <v>0</v>
      </c>
    </row>
    <row r="20" spans="1:7" x14ac:dyDescent="0.3">
      <c r="A20" s="79" t="s">
        <v>252</v>
      </c>
      <c r="B20" s="36" t="s">
        <v>109</v>
      </c>
      <c r="C20" s="32" t="s">
        <v>110</v>
      </c>
      <c r="D20" s="34">
        <v>4</v>
      </c>
      <c r="E20" s="34" t="s">
        <v>111</v>
      </c>
      <c r="F20" s="41">
        <v>4.68</v>
      </c>
      <c r="G20" s="41">
        <f t="shared" si="0"/>
        <v>18.72</v>
      </c>
    </row>
    <row r="21" spans="1:7" x14ac:dyDescent="0.3">
      <c r="A21" s="79"/>
      <c r="B21" s="36" t="s">
        <v>112</v>
      </c>
      <c r="C21" s="32" t="s">
        <v>113</v>
      </c>
      <c r="D21" s="34">
        <f>IF('Selection List'!B1=17,7,IF('Selection List'!B1=23,8.5,IF('Selection List'!B1=30,10,"VEYY")))</f>
        <v>10</v>
      </c>
      <c r="E21" s="34" t="s">
        <v>111</v>
      </c>
      <c r="F21" s="41">
        <v>10.991999999999999</v>
      </c>
      <c r="G21" s="41">
        <f t="shared" si="0"/>
        <v>109.91999999999999</v>
      </c>
    </row>
    <row r="22" spans="1:7" x14ac:dyDescent="0.3">
      <c r="A22" s="79"/>
      <c r="B22" s="36" t="s">
        <v>114</v>
      </c>
      <c r="C22" s="32" t="s">
        <v>115</v>
      </c>
      <c r="D22" s="34">
        <f>IF('Selection List'!B1=17,19,IF('Selection List'!B1=23,20.5,IF('Selection List'!B1=30,22,"VEYY")))</f>
        <v>22</v>
      </c>
      <c r="E22" s="34" t="s">
        <v>111</v>
      </c>
      <c r="F22" s="41">
        <v>10.895999999999999</v>
      </c>
      <c r="G22" s="41">
        <f t="shared" si="0"/>
        <v>239.71199999999999</v>
      </c>
    </row>
    <row r="23" spans="1:7" x14ac:dyDescent="0.3">
      <c r="A23" s="79"/>
      <c r="B23" s="36" t="s">
        <v>116</v>
      </c>
      <c r="C23" s="32" t="s">
        <v>117</v>
      </c>
      <c r="D23" s="34">
        <f>IF('Selection List'!B1=17,31,IF('Selection List'!B1=23,34.5,IF('Selection List'!B1=30,38,"VEYY")))</f>
        <v>38</v>
      </c>
      <c r="E23" s="34" t="s">
        <v>111</v>
      </c>
      <c r="F23" s="41">
        <v>6.6239999999999997</v>
      </c>
      <c r="G23" s="41">
        <f t="shared" si="0"/>
        <v>251.71199999999999</v>
      </c>
    </row>
    <row r="24" spans="1:7" x14ac:dyDescent="0.3">
      <c r="A24" s="79"/>
      <c r="B24" s="36" t="s">
        <v>118</v>
      </c>
      <c r="C24" s="32" t="s">
        <v>119</v>
      </c>
      <c r="D24" s="34">
        <f>IF('Selection List'!B1=17,14,IF('Selection List'!B1=23,17,IF('Selection List'!B1=30,20,"VEYY")))</f>
        <v>20</v>
      </c>
      <c r="E24" s="34" t="s">
        <v>111</v>
      </c>
      <c r="F24" s="41">
        <v>5.64</v>
      </c>
      <c r="G24" s="41">
        <f t="shared" si="0"/>
        <v>112.8</v>
      </c>
    </row>
    <row r="25" spans="1:7" x14ac:dyDescent="0.3">
      <c r="A25" s="79"/>
      <c r="B25" s="36" t="s">
        <v>120</v>
      </c>
      <c r="C25" s="32" t="s">
        <v>121</v>
      </c>
      <c r="D25" s="34">
        <f>IF('Selection List'!B1=17,4,IF('Selection List'!B1=23,6,IF('Selection List'!B1=30,8,"VEYY")))</f>
        <v>8</v>
      </c>
      <c r="E25" s="34" t="s">
        <v>92</v>
      </c>
      <c r="F25" s="41">
        <v>0.44800000000000001</v>
      </c>
      <c r="G25" s="41">
        <f t="shared" si="0"/>
        <v>3.5840000000000001</v>
      </c>
    </row>
    <row r="26" spans="1:7" x14ac:dyDescent="0.3">
      <c r="A26" s="79"/>
      <c r="B26" s="36" t="s">
        <v>122</v>
      </c>
      <c r="C26" s="32" t="s">
        <v>123</v>
      </c>
      <c r="D26" s="34">
        <f>IF('Selection List'!B1=17,58,IF('Selection List'!B1=23,59,IF('Selection List'!B1=30,60,"VEYY")))</f>
        <v>60</v>
      </c>
      <c r="E26" s="34" t="s">
        <v>92</v>
      </c>
      <c r="F26" s="41">
        <v>0.33</v>
      </c>
      <c r="G26" s="41">
        <f t="shared" si="0"/>
        <v>19.8</v>
      </c>
    </row>
    <row r="27" spans="1:7" x14ac:dyDescent="0.3">
      <c r="A27" s="79"/>
      <c r="B27" s="36" t="s">
        <v>124</v>
      </c>
      <c r="C27" s="32" t="s">
        <v>125</v>
      </c>
      <c r="D27" s="34">
        <f>IF('Selection List'!B1=17,289.2,IF('Selection List'!B1=23,319.2,IF('Selection List'!B1=30,349.2,"VEYY")))</f>
        <v>349.2</v>
      </c>
      <c r="E27" s="34" t="s">
        <v>126</v>
      </c>
      <c r="F27" s="41">
        <v>1.04</v>
      </c>
      <c r="G27" s="41">
        <f t="shared" si="0"/>
        <v>363.16800000000001</v>
      </c>
    </row>
    <row r="28" spans="1:7" x14ac:dyDescent="0.3">
      <c r="A28" s="79"/>
      <c r="B28" s="36" t="s">
        <v>127</v>
      </c>
      <c r="C28" s="32" t="s">
        <v>128</v>
      </c>
      <c r="D28" s="34">
        <f>IF('Selection List'!B1=17,89,IF('Selection List'!B1=23,97.9,IF('Selection List'!B1=30,106.8,"VEYY")))</f>
        <v>106.8</v>
      </c>
      <c r="E28" s="34" t="s">
        <v>111</v>
      </c>
      <c r="F28" s="41">
        <v>2.87</v>
      </c>
      <c r="G28" s="41">
        <f t="shared" si="0"/>
        <v>306.51600000000002</v>
      </c>
    </row>
    <row r="29" spans="1:7" x14ac:dyDescent="0.3">
      <c r="A29" s="79"/>
      <c r="B29" s="36" t="s">
        <v>129</v>
      </c>
      <c r="C29" s="32" t="s">
        <v>130</v>
      </c>
      <c r="D29" s="34">
        <f>IF('Selection List'!B1=17,23,IF('Selection List'!B1=23,25.3,IF('Selection List'!B1=30,27.6,"VEYY")))</f>
        <v>27.6</v>
      </c>
      <c r="E29" s="34" t="s">
        <v>111</v>
      </c>
      <c r="F29" s="41">
        <v>2.2400000000000002</v>
      </c>
      <c r="G29" s="41">
        <f t="shared" si="0"/>
        <v>61.824000000000012</v>
      </c>
    </row>
    <row r="30" spans="1:7" x14ac:dyDescent="0.3">
      <c r="A30" s="79"/>
      <c r="B30" s="36" t="s">
        <v>131</v>
      </c>
      <c r="C30" s="32" t="s">
        <v>132</v>
      </c>
      <c r="D30" s="34">
        <f>IF('Selection List'!B1=17,204,IF('Selection List'!B1=23,241,IF('Selection List'!B1=30,292,"VEYY")))</f>
        <v>292</v>
      </c>
      <c r="E30" s="34" t="s">
        <v>126</v>
      </c>
      <c r="F30" s="41">
        <v>0.82</v>
      </c>
      <c r="G30" s="41">
        <f t="shared" si="0"/>
        <v>239.44</v>
      </c>
    </row>
    <row r="31" spans="1:7" x14ac:dyDescent="0.3">
      <c r="A31" s="79"/>
      <c r="B31" s="36" t="s">
        <v>133</v>
      </c>
      <c r="C31" s="32" t="s">
        <v>134</v>
      </c>
      <c r="D31" s="34">
        <f>IF('Selection List'!B1=17,30,IF('Selection List'!B1=23,45,IF('Selection List'!B1=30,60,"VEYY")))</f>
        <v>60</v>
      </c>
      <c r="E31" s="34" t="s">
        <v>135</v>
      </c>
      <c r="F31" s="41">
        <v>4.28</v>
      </c>
      <c r="G31" s="41">
        <f t="shared" si="0"/>
        <v>256.8</v>
      </c>
    </row>
    <row r="32" spans="1:7" x14ac:dyDescent="0.3">
      <c r="A32" s="79"/>
      <c r="B32" s="36" t="s">
        <v>493</v>
      </c>
      <c r="C32" s="32" t="s">
        <v>251</v>
      </c>
      <c r="D32" s="34">
        <f>IF(AND('Selection List'!B1=30,OR('Selection List'!B2="B",'Selection List'!B2="M"),'Selection List'!B22="F"),3,IF(AND('Selection List'!B1=30,OR('Selection List'!B2="B",'Selection List'!B2="M"),'Selection List'!B22="B"),4,IF(AND('Selection List'!B1=30,OR('Selection List'!B2="B",'Selection List'!B2="M"),'Selection List'!B22="A"),6,IF(AND('Selection List'!B1=23,OR('Selection List'!B2="B",'Selection List'!B2="M"),'Selection List'!B22="F"),2,IF(AND('Selection List'!B1=23,OR('Selection List'!B2="B",'Selection List'!B2="M"),'Selection List'!B22="B"),3,IF(AND('Selection List'!B1=23,OR('Selection List'!B2="B",'Selection List'!B2="M"),'Selection List'!B22="A"),5,IF(AND('Selection List'!B1=17,OR('Selection List'!B2="B",'Selection List'!B2="M"),'Selection List'!B22="F"),2,IF(AND('Selection List'!B1=17,OR('Selection List'!B2="B",'Selection List'!B2="M"),'Selection List'!B22="B"),3,IF(AND('Selection List'!B1=17,OR('Selection List'!B2="B",'Selection List'!B2="M"),'Selection List'!B22="A"),4,"0")))))))))</f>
        <v>3</v>
      </c>
      <c r="E32" s="34" t="s">
        <v>92</v>
      </c>
      <c r="F32" s="41">
        <v>54.11</v>
      </c>
      <c r="G32" s="41">
        <f t="shared" si="0"/>
        <v>162.32999999999998</v>
      </c>
    </row>
    <row r="33" spans="1:7" x14ac:dyDescent="0.3">
      <c r="A33" s="79"/>
      <c r="B33" s="36" t="s">
        <v>494</v>
      </c>
      <c r="C33" s="32" t="s">
        <v>483</v>
      </c>
      <c r="D33" s="34">
        <f>IF(AND('Selection List'!B1=30,'Selection List'!B2="F"),5,IF(AND('Selection List'!B1=23,'Selection List'!B2="F"),4,IF(AND('Selection List'!B1=17,'Selection List'!B2="F"),3,0)))</f>
        <v>0</v>
      </c>
      <c r="E33" s="34" t="s">
        <v>92</v>
      </c>
      <c r="F33" s="41">
        <v>61.7</v>
      </c>
      <c r="G33" s="41">
        <f t="shared" si="0"/>
        <v>0</v>
      </c>
    </row>
    <row r="34" spans="1:7" x14ac:dyDescent="0.3">
      <c r="A34" s="79"/>
      <c r="B34" s="36" t="s">
        <v>136</v>
      </c>
      <c r="C34" s="32" t="s">
        <v>137</v>
      </c>
      <c r="D34" s="34">
        <f>IF('Selection List'!B1=17,18,IF('Selection List'!B1=23,54,IF('Selection List'!B1=30,90,"VEYY")))</f>
        <v>90</v>
      </c>
      <c r="E34" s="34" t="s">
        <v>126</v>
      </c>
      <c r="F34" s="41">
        <v>1.05</v>
      </c>
      <c r="G34" s="41">
        <f t="shared" si="0"/>
        <v>94.5</v>
      </c>
    </row>
    <row r="35" spans="1:7" x14ac:dyDescent="0.3">
      <c r="A35" s="79"/>
      <c r="B35" s="36" t="s">
        <v>138</v>
      </c>
      <c r="C35" s="32" t="s">
        <v>139</v>
      </c>
      <c r="D35" s="34">
        <f>IF('Selection List'!B1=17,11,IF('Selection List'!B1=23,17.5,IF('Selection List'!B1=30,24,"VEYY")))</f>
        <v>24</v>
      </c>
      <c r="E35" s="34" t="s">
        <v>126</v>
      </c>
      <c r="F35" s="41">
        <v>4.2</v>
      </c>
      <c r="G35" s="41">
        <f t="shared" si="0"/>
        <v>100.80000000000001</v>
      </c>
    </row>
    <row r="36" spans="1:7" x14ac:dyDescent="0.3">
      <c r="A36" s="79"/>
      <c r="B36" s="36" t="s">
        <v>140</v>
      </c>
      <c r="C36" s="32" t="s">
        <v>141</v>
      </c>
      <c r="D36" s="34">
        <v>4</v>
      </c>
      <c r="E36" s="34" t="s">
        <v>92</v>
      </c>
      <c r="F36" s="41">
        <v>2.82</v>
      </c>
      <c r="G36" s="41">
        <f t="shared" si="0"/>
        <v>11.28</v>
      </c>
    </row>
    <row r="37" spans="1:7" x14ac:dyDescent="0.3">
      <c r="A37" s="79"/>
      <c r="B37" s="36" t="s">
        <v>142</v>
      </c>
      <c r="C37" s="32" t="s">
        <v>143</v>
      </c>
      <c r="D37" s="34">
        <v>4</v>
      </c>
      <c r="E37" s="34" t="s">
        <v>92</v>
      </c>
      <c r="F37" s="41">
        <v>2.6</v>
      </c>
      <c r="G37" s="41">
        <f t="shared" si="0"/>
        <v>10.4</v>
      </c>
    </row>
    <row r="38" spans="1:7" x14ac:dyDescent="0.3">
      <c r="A38" s="79"/>
      <c r="B38" s="36" t="s">
        <v>144</v>
      </c>
      <c r="C38" s="32" t="s">
        <v>145</v>
      </c>
      <c r="D38" s="34">
        <v>2</v>
      </c>
      <c r="E38" s="34" t="s">
        <v>92</v>
      </c>
      <c r="F38" s="41">
        <v>2.6</v>
      </c>
      <c r="G38" s="41">
        <f t="shared" si="0"/>
        <v>5.2</v>
      </c>
    </row>
    <row r="39" spans="1:7" x14ac:dyDescent="0.3">
      <c r="A39" s="79"/>
      <c r="B39" s="36" t="s">
        <v>146</v>
      </c>
      <c r="C39" s="32" t="s">
        <v>147</v>
      </c>
      <c r="D39" s="34">
        <f>IF('Selection List'!B1=17,9,IF('Selection List'!B1=23,12,IF('Selection List'!B1=30,15,"VEYY")))</f>
        <v>15</v>
      </c>
      <c r="E39" s="34" t="s">
        <v>92</v>
      </c>
      <c r="F39" s="41">
        <v>1</v>
      </c>
      <c r="G39" s="41">
        <f t="shared" si="0"/>
        <v>15</v>
      </c>
    </row>
    <row r="40" spans="1:7" x14ac:dyDescent="0.3">
      <c r="A40" s="79"/>
      <c r="B40" s="36" t="s">
        <v>148</v>
      </c>
      <c r="C40" s="32" t="s">
        <v>149</v>
      </c>
      <c r="D40" s="34">
        <f>IF('Selection List'!B1=17,6,IF('Selection List'!B1=23,8,IF('Selection List'!B1=30,10,"VEYY")))</f>
        <v>10</v>
      </c>
      <c r="E40" s="34" t="s">
        <v>92</v>
      </c>
      <c r="F40" s="41">
        <v>20</v>
      </c>
      <c r="G40" s="41">
        <f t="shared" si="0"/>
        <v>200</v>
      </c>
    </row>
    <row r="41" spans="1:7" x14ac:dyDescent="0.3">
      <c r="A41" s="79"/>
      <c r="B41" s="36" t="s">
        <v>150</v>
      </c>
      <c r="C41" s="32" t="s">
        <v>151</v>
      </c>
      <c r="D41" s="34">
        <v>4</v>
      </c>
      <c r="E41" s="34" t="s">
        <v>92</v>
      </c>
      <c r="F41" s="41">
        <v>29.3</v>
      </c>
      <c r="G41" s="41">
        <f t="shared" si="0"/>
        <v>117.2</v>
      </c>
    </row>
    <row r="42" spans="1:7" x14ac:dyDescent="0.3">
      <c r="A42" s="79"/>
      <c r="B42" s="36" t="s">
        <v>172</v>
      </c>
      <c r="C42" s="32" t="s">
        <v>173</v>
      </c>
      <c r="D42" s="33">
        <f>IF('Selection List'!B1=17,6,IF('Selection List'!B1=23,9,IF('Selection List'!B1=30,12,"VEYY")))</f>
        <v>12</v>
      </c>
      <c r="E42" s="34" t="s">
        <v>92</v>
      </c>
      <c r="F42" s="41">
        <v>8.09</v>
      </c>
      <c r="G42" s="41">
        <f t="shared" si="0"/>
        <v>97.08</v>
      </c>
    </row>
    <row r="43" spans="1:7" x14ac:dyDescent="0.3">
      <c r="A43" s="79"/>
      <c r="B43" s="36" t="s">
        <v>174</v>
      </c>
      <c r="C43" s="32" t="s">
        <v>175</v>
      </c>
      <c r="D43" s="33">
        <f>IF('Selection List'!B1=17,2,IF('Selection List'!B1=23,3,IF('Selection List'!B1=30,4,"VEYY")))</f>
        <v>4</v>
      </c>
      <c r="E43" s="34" t="s">
        <v>92</v>
      </c>
      <c r="F43" s="41">
        <v>3.15</v>
      </c>
      <c r="G43" s="41">
        <f t="shared" si="0"/>
        <v>12.6</v>
      </c>
    </row>
    <row r="44" spans="1:7" x14ac:dyDescent="0.3">
      <c r="A44" s="79"/>
      <c r="B44" s="36" t="s">
        <v>176</v>
      </c>
      <c r="C44" s="32" t="s">
        <v>177</v>
      </c>
      <c r="D44" s="34">
        <f>IF('Selection List'!B1=17,2,IF('Selection List'!B1=23,3,IF('Selection List'!B1=30,4,"VEYY")))</f>
        <v>4</v>
      </c>
      <c r="E44" s="34" t="s">
        <v>92</v>
      </c>
      <c r="F44" s="41">
        <v>1.58</v>
      </c>
      <c r="G44" s="41">
        <f t="shared" si="0"/>
        <v>6.32</v>
      </c>
    </row>
    <row r="45" spans="1:7" x14ac:dyDescent="0.3">
      <c r="A45" s="79"/>
      <c r="B45" s="36" t="s">
        <v>178</v>
      </c>
      <c r="C45" s="32" t="s">
        <v>179</v>
      </c>
      <c r="D45" s="34">
        <f>IF('Selection List'!B1=17,6,IF('Selection List'!B1=23,9,IF('Selection List'!B1=30,12,"VEYY")))</f>
        <v>12</v>
      </c>
      <c r="E45" s="34" t="s">
        <v>92</v>
      </c>
      <c r="F45" s="41">
        <v>1.1499999999999999</v>
      </c>
      <c r="G45" s="41">
        <f t="shared" si="0"/>
        <v>13.799999999999999</v>
      </c>
    </row>
    <row r="46" spans="1:7" x14ac:dyDescent="0.3">
      <c r="A46" s="79"/>
      <c r="B46" s="36" t="s">
        <v>180</v>
      </c>
      <c r="C46" s="32" t="s">
        <v>181</v>
      </c>
      <c r="D46" s="34">
        <f>IF('Selection List'!B1=17,6,IF('Selection List'!B1=23,9,IF('Selection List'!B1=30,12,"VEYY")))</f>
        <v>12</v>
      </c>
      <c r="E46" s="34" t="s">
        <v>92</v>
      </c>
      <c r="F46" s="41">
        <v>2.15</v>
      </c>
      <c r="G46" s="41">
        <f t="shared" si="0"/>
        <v>25.799999999999997</v>
      </c>
    </row>
    <row r="47" spans="1:7" x14ac:dyDescent="0.3">
      <c r="A47" s="79"/>
      <c r="B47" s="36" t="s">
        <v>192</v>
      </c>
      <c r="C47" s="32" t="s">
        <v>193</v>
      </c>
      <c r="D47" s="34">
        <f>IF('Selection List'!B1=17,10,IF('Selection List'!B1=23,15,IF('Selection List'!B1=30,20,"VEYY")))</f>
        <v>20</v>
      </c>
      <c r="E47" s="34" t="s">
        <v>92</v>
      </c>
      <c r="F47" s="41">
        <v>2.09</v>
      </c>
      <c r="G47" s="41">
        <f t="shared" si="0"/>
        <v>41.8</v>
      </c>
    </row>
    <row r="48" spans="1:7" x14ac:dyDescent="0.3">
      <c r="A48" s="79"/>
      <c r="B48" s="36" t="s">
        <v>218</v>
      </c>
      <c r="C48" s="32" t="s">
        <v>219</v>
      </c>
      <c r="D48" s="37">
        <v>40</v>
      </c>
      <c r="E48" s="34" t="s">
        <v>111</v>
      </c>
      <c r="F48" s="41">
        <v>0.54</v>
      </c>
      <c r="G48" s="41">
        <f t="shared" si="0"/>
        <v>21.6</v>
      </c>
    </row>
    <row r="49" spans="1:7" x14ac:dyDescent="0.3">
      <c r="A49" s="79"/>
      <c r="B49" s="36" t="s">
        <v>220</v>
      </c>
      <c r="C49" s="32" t="s">
        <v>221</v>
      </c>
      <c r="D49" s="37">
        <v>8</v>
      </c>
      <c r="E49" s="34" t="s">
        <v>92</v>
      </c>
      <c r="F49" s="41">
        <v>1.96</v>
      </c>
      <c r="G49" s="41">
        <f t="shared" si="0"/>
        <v>15.68</v>
      </c>
    </row>
    <row r="50" spans="1:7" x14ac:dyDescent="0.3">
      <c r="A50" s="79"/>
      <c r="B50" s="36" t="s">
        <v>222</v>
      </c>
      <c r="C50" s="32" t="s">
        <v>223</v>
      </c>
      <c r="D50" s="34">
        <v>5</v>
      </c>
      <c r="E50" s="34" t="s">
        <v>126</v>
      </c>
      <c r="F50" s="41">
        <v>45</v>
      </c>
      <c r="G50" s="41">
        <f t="shared" si="0"/>
        <v>225</v>
      </c>
    </row>
    <row r="51" spans="1:7" x14ac:dyDescent="0.3">
      <c r="A51" s="79" t="s">
        <v>254</v>
      </c>
      <c r="B51" s="36" t="s">
        <v>152</v>
      </c>
      <c r="C51" s="32" t="s">
        <v>153</v>
      </c>
      <c r="D51" s="34">
        <f>IF('Selection List'!B1=17,0,2)</f>
        <v>2</v>
      </c>
      <c r="E51" s="34" t="s">
        <v>92</v>
      </c>
      <c r="F51" s="41">
        <v>155.69999999999999</v>
      </c>
      <c r="G51" s="41">
        <f t="shared" si="0"/>
        <v>311.39999999999998</v>
      </c>
    </row>
    <row r="52" spans="1:7" x14ac:dyDescent="0.3">
      <c r="A52" s="79"/>
      <c r="B52" s="36" t="s">
        <v>154</v>
      </c>
      <c r="C52" s="32" t="s">
        <v>155</v>
      </c>
      <c r="D52" s="34">
        <f>IF('Selection List'!B1=17,0,1)</f>
        <v>1</v>
      </c>
      <c r="E52" s="34" t="s">
        <v>92</v>
      </c>
      <c r="F52" s="41">
        <v>261.39</v>
      </c>
      <c r="G52" s="41">
        <f t="shared" si="0"/>
        <v>261.39</v>
      </c>
    </row>
    <row r="53" spans="1:7" x14ac:dyDescent="0.3">
      <c r="A53" s="79"/>
      <c r="B53" s="36" t="s">
        <v>156</v>
      </c>
      <c r="C53" s="32" t="s">
        <v>157</v>
      </c>
      <c r="D53" s="34">
        <f>IF('Selection List'!B1=17,0,1)</f>
        <v>1</v>
      </c>
      <c r="E53" s="34" t="s">
        <v>92</v>
      </c>
      <c r="F53" s="41">
        <v>252</v>
      </c>
      <c r="G53" s="41">
        <f t="shared" si="0"/>
        <v>252</v>
      </c>
    </row>
    <row r="54" spans="1:7" x14ac:dyDescent="0.3">
      <c r="A54" s="79"/>
      <c r="B54" s="36" t="s">
        <v>495</v>
      </c>
      <c r="C54" s="32" t="s">
        <v>255</v>
      </c>
      <c r="D54" s="34">
        <f>IF(AND(OR('Selection List'!B1=23,('Selection List'!B1=30)),OR('Selection List'!B10=3,'Selection List'!B10="N")),1,0)</f>
        <v>0</v>
      </c>
      <c r="E54" s="34" t="s">
        <v>92</v>
      </c>
      <c r="F54" s="41">
        <v>248.68</v>
      </c>
      <c r="G54" s="41">
        <f t="shared" si="0"/>
        <v>0</v>
      </c>
    </row>
    <row r="55" spans="1:7" x14ac:dyDescent="0.3">
      <c r="A55" s="79"/>
      <c r="B55" s="36" t="s">
        <v>495</v>
      </c>
      <c r="C55" s="32" t="s">
        <v>256</v>
      </c>
      <c r="D55" s="34">
        <f>IF(AND(OR('Selection List'!B1=23,('Selection List'!B1=30)),'Selection List'!B10=2),1,0)</f>
        <v>1</v>
      </c>
      <c r="E55" s="34" t="s">
        <v>92</v>
      </c>
      <c r="F55" s="41">
        <v>248.68</v>
      </c>
      <c r="G55" s="41">
        <f t="shared" si="0"/>
        <v>248.68</v>
      </c>
    </row>
    <row r="56" spans="1:7" x14ac:dyDescent="0.3">
      <c r="A56" s="79"/>
      <c r="B56" s="36" t="s">
        <v>495</v>
      </c>
      <c r="C56" s="32" t="s">
        <v>257</v>
      </c>
      <c r="D56" s="34">
        <f>IF(AND(OR('Selection List'!B1=23,('Selection List'!B1=30)),'Selection List'!B10="F"),1,0)</f>
        <v>0</v>
      </c>
      <c r="E56" s="34" t="s">
        <v>92</v>
      </c>
      <c r="F56" s="41">
        <v>248.68</v>
      </c>
      <c r="G56" s="41">
        <f t="shared" si="0"/>
        <v>0</v>
      </c>
    </row>
    <row r="57" spans="1:7" x14ac:dyDescent="0.3">
      <c r="A57" s="79"/>
      <c r="B57" s="36" t="s">
        <v>158</v>
      </c>
      <c r="C57" s="32" t="s">
        <v>159</v>
      </c>
      <c r="D57" s="34">
        <f>IF('Selection List'!B1=17,0,1)</f>
        <v>1</v>
      </c>
      <c r="E57" s="34" t="s">
        <v>92</v>
      </c>
      <c r="F57" s="41">
        <v>253.66</v>
      </c>
      <c r="G57" s="41">
        <f t="shared" si="0"/>
        <v>253.66</v>
      </c>
    </row>
    <row r="58" spans="1:7" x14ac:dyDescent="0.3">
      <c r="A58" s="79"/>
      <c r="B58" s="36" t="s">
        <v>160</v>
      </c>
      <c r="C58" s="32" t="s">
        <v>161</v>
      </c>
      <c r="D58" s="34">
        <f>IF('Selection List'!B1=17,0,2)</f>
        <v>2</v>
      </c>
      <c r="E58" s="34" t="s">
        <v>92</v>
      </c>
      <c r="F58" s="41">
        <v>11.33</v>
      </c>
      <c r="G58" s="41">
        <f t="shared" si="0"/>
        <v>22.66</v>
      </c>
    </row>
    <row r="59" spans="1:7" x14ac:dyDescent="0.3">
      <c r="A59" s="79"/>
      <c r="B59" s="36" t="s">
        <v>162</v>
      </c>
      <c r="C59" s="32" t="s">
        <v>163</v>
      </c>
      <c r="D59" s="34">
        <f>IF('Selection List'!B1=17,0,2)</f>
        <v>2</v>
      </c>
      <c r="E59" s="34" t="s">
        <v>92</v>
      </c>
      <c r="F59" s="41">
        <v>13.8</v>
      </c>
      <c r="G59" s="41">
        <f t="shared" si="0"/>
        <v>27.6</v>
      </c>
    </row>
    <row r="60" spans="1:7" x14ac:dyDescent="0.3">
      <c r="A60" s="79"/>
      <c r="B60" s="36" t="s">
        <v>164</v>
      </c>
      <c r="C60" s="32" t="s">
        <v>165</v>
      </c>
      <c r="D60" s="34">
        <f>IF('Selection List'!B1=17,0,8)</f>
        <v>8</v>
      </c>
      <c r="E60" s="34" t="s">
        <v>92</v>
      </c>
      <c r="F60" s="41">
        <v>1.1200000000000001</v>
      </c>
      <c r="G60" s="41">
        <f t="shared" si="0"/>
        <v>8.9600000000000009</v>
      </c>
    </row>
    <row r="61" spans="1:7" x14ac:dyDescent="0.3">
      <c r="A61" s="79"/>
      <c r="B61" s="36" t="s">
        <v>224</v>
      </c>
      <c r="C61" s="32" t="s">
        <v>225</v>
      </c>
      <c r="D61" s="34">
        <f>IF('Selection List'!B1=17,2,0)</f>
        <v>0</v>
      </c>
      <c r="E61" s="34" t="s">
        <v>92</v>
      </c>
      <c r="F61" s="41">
        <v>127.93</v>
      </c>
      <c r="G61" s="41">
        <f t="shared" si="0"/>
        <v>0</v>
      </c>
    </row>
    <row r="62" spans="1:7" x14ac:dyDescent="0.3">
      <c r="A62" s="79"/>
      <c r="B62" s="36" t="s">
        <v>226</v>
      </c>
      <c r="C62" s="32" t="s">
        <v>227</v>
      </c>
      <c r="D62" s="34">
        <f>IF('Selection List'!B1=17,1,0)</f>
        <v>0</v>
      </c>
      <c r="E62" s="34" t="s">
        <v>92</v>
      </c>
      <c r="F62" s="41">
        <v>184.3</v>
      </c>
      <c r="G62" s="41">
        <f t="shared" si="0"/>
        <v>0</v>
      </c>
    </row>
    <row r="63" spans="1:7" x14ac:dyDescent="0.3">
      <c r="A63" s="79"/>
      <c r="B63" s="36" t="s">
        <v>228</v>
      </c>
      <c r="C63" s="32" t="s">
        <v>229</v>
      </c>
      <c r="D63" s="34">
        <f>IF('Selection List'!B1=17,1,0)</f>
        <v>0</v>
      </c>
      <c r="E63" s="34" t="s">
        <v>92</v>
      </c>
      <c r="F63" s="41">
        <v>185.41</v>
      </c>
      <c r="G63" s="41">
        <f t="shared" si="0"/>
        <v>0</v>
      </c>
    </row>
    <row r="64" spans="1:7" x14ac:dyDescent="0.3">
      <c r="A64" s="79"/>
      <c r="B64" s="36" t="s">
        <v>495</v>
      </c>
      <c r="C64" s="32" t="s">
        <v>258</v>
      </c>
      <c r="D64" s="34">
        <f>IF(AND('Selection List'!B1=17,OR('Selection List'!B10=3,'Selection List'!B10="N")),1,0)</f>
        <v>0</v>
      </c>
      <c r="E64" s="34" t="s">
        <v>92</v>
      </c>
      <c r="F64" s="41">
        <v>248.68</v>
      </c>
      <c r="G64" s="41">
        <f t="shared" si="0"/>
        <v>0</v>
      </c>
    </row>
    <row r="65" spans="1:7" x14ac:dyDescent="0.3">
      <c r="A65" s="79"/>
      <c r="B65" s="36" t="s">
        <v>495</v>
      </c>
      <c r="C65" s="32" t="s">
        <v>259</v>
      </c>
      <c r="D65" s="34">
        <f>IF(AND('Selection List'!B1=17,'Selection List'!B10=2),1,0)</f>
        <v>0</v>
      </c>
      <c r="E65" s="34" t="s">
        <v>92</v>
      </c>
      <c r="F65" s="41">
        <v>248.68</v>
      </c>
      <c r="G65" s="41">
        <f t="shared" si="0"/>
        <v>0</v>
      </c>
    </row>
    <row r="66" spans="1:7" x14ac:dyDescent="0.3">
      <c r="A66" s="79"/>
      <c r="B66" s="36" t="s">
        <v>495</v>
      </c>
      <c r="C66" s="32" t="s">
        <v>260</v>
      </c>
      <c r="D66" s="34">
        <f>IF(AND('Selection List'!B1=17,'Selection List'!B10="F"),1,0)</f>
        <v>0</v>
      </c>
      <c r="E66" s="34" t="s">
        <v>92</v>
      </c>
      <c r="F66" s="41">
        <v>248.68</v>
      </c>
      <c r="G66" s="41">
        <f t="shared" si="0"/>
        <v>0</v>
      </c>
    </row>
    <row r="67" spans="1:7" x14ac:dyDescent="0.3">
      <c r="A67" s="79"/>
      <c r="B67" s="36" t="s">
        <v>230</v>
      </c>
      <c r="C67" s="32" t="s">
        <v>231</v>
      </c>
      <c r="D67" s="34">
        <f>IF('Selection List'!B1=17,1,0)</f>
        <v>0</v>
      </c>
      <c r="E67" s="34" t="s">
        <v>92</v>
      </c>
      <c r="F67" s="41">
        <v>193.42</v>
      </c>
      <c r="G67" s="41">
        <f t="shared" ref="G67:G130" si="1">D67*F67</f>
        <v>0</v>
      </c>
    </row>
    <row r="68" spans="1:7" x14ac:dyDescent="0.3">
      <c r="A68" s="79"/>
      <c r="B68" s="36" t="s">
        <v>224</v>
      </c>
      <c r="C68" s="32" t="s">
        <v>232</v>
      </c>
      <c r="D68" s="34">
        <f>IF('Selection List'!B1=17,2,0)</f>
        <v>0</v>
      </c>
      <c r="E68" s="34" t="s">
        <v>92</v>
      </c>
      <c r="F68" s="41">
        <v>127.93</v>
      </c>
      <c r="G68" s="41">
        <f t="shared" si="1"/>
        <v>0</v>
      </c>
    </row>
    <row r="69" spans="1:7" x14ac:dyDescent="0.3">
      <c r="A69" s="79"/>
      <c r="B69" s="36" t="s">
        <v>233</v>
      </c>
      <c r="C69" s="32" t="s">
        <v>234</v>
      </c>
      <c r="D69" s="34">
        <f>IF('Selection List'!B1=17,2,0)</f>
        <v>0</v>
      </c>
      <c r="E69" s="34" t="s">
        <v>92</v>
      </c>
      <c r="F69" s="41">
        <v>15.83</v>
      </c>
      <c r="G69" s="41">
        <f t="shared" si="1"/>
        <v>0</v>
      </c>
    </row>
    <row r="70" spans="1:7" x14ac:dyDescent="0.3">
      <c r="A70" s="79"/>
      <c r="B70" s="36" t="s">
        <v>235</v>
      </c>
      <c r="C70" s="32" t="s">
        <v>236</v>
      </c>
      <c r="D70" s="34">
        <f>IF('Selection List'!B1=17,8,0)</f>
        <v>0</v>
      </c>
      <c r="E70" s="34" t="s">
        <v>92</v>
      </c>
      <c r="F70" s="41">
        <v>0.8</v>
      </c>
      <c r="G70" s="41">
        <f t="shared" si="1"/>
        <v>0</v>
      </c>
    </row>
    <row r="71" spans="1:7" x14ac:dyDescent="0.3">
      <c r="A71" s="79"/>
      <c r="B71" s="36" t="s">
        <v>166</v>
      </c>
      <c r="C71" s="32" t="s">
        <v>167</v>
      </c>
      <c r="D71" s="34">
        <v>64</v>
      </c>
      <c r="E71" s="34" t="s">
        <v>92</v>
      </c>
      <c r="F71" s="41">
        <v>0.85</v>
      </c>
      <c r="G71" s="41">
        <f t="shared" si="1"/>
        <v>54.4</v>
      </c>
    </row>
    <row r="72" spans="1:7" x14ac:dyDescent="0.3">
      <c r="A72" s="79"/>
      <c r="B72" s="36" t="s">
        <v>168</v>
      </c>
      <c r="C72" s="32" t="s">
        <v>169</v>
      </c>
      <c r="D72" s="33">
        <v>64</v>
      </c>
      <c r="E72" s="34" t="s">
        <v>92</v>
      </c>
      <c r="F72" s="41">
        <v>0.2</v>
      </c>
      <c r="G72" s="41">
        <f t="shared" si="1"/>
        <v>12.8</v>
      </c>
    </row>
    <row r="73" spans="1:7" x14ac:dyDescent="0.3">
      <c r="A73" s="79"/>
      <c r="B73" s="36" t="s">
        <v>170</v>
      </c>
      <c r="C73" s="32" t="s">
        <v>171</v>
      </c>
      <c r="D73" s="33">
        <f>IF('Selection List'!B1=17,0,8)</f>
        <v>8</v>
      </c>
      <c r="E73" s="34" t="s">
        <v>92</v>
      </c>
      <c r="F73" s="41">
        <v>1.22</v>
      </c>
      <c r="G73" s="41">
        <f t="shared" si="1"/>
        <v>9.76</v>
      </c>
    </row>
    <row r="74" spans="1:7" x14ac:dyDescent="0.3">
      <c r="A74" s="79"/>
      <c r="B74" s="36" t="s">
        <v>496</v>
      </c>
      <c r="C74" s="32" t="s">
        <v>273</v>
      </c>
      <c r="D74" s="33">
        <f>IF('Selection List'!B1=17,8,0)</f>
        <v>0</v>
      </c>
      <c r="E74" s="34" t="s">
        <v>92</v>
      </c>
      <c r="F74" s="41">
        <v>0.95</v>
      </c>
      <c r="G74" s="41">
        <f t="shared" si="1"/>
        <v>0</v>
      </c>
    </row>
    <row r="75" spans="1:7" x14ac:dyDescent="0.3">
      <c r="A75" s="79"/>
      <c r="B75" s="36" t="s">
        <v>196</v>
      </c>
      <c r="C75" s="32" t="s">
        <v>197</v>
      </c>
      <c r="D75" s="38">
        <v>1</v>
      </c>
      <c r="E75" s="34" t="s">
        <v>92</v>
      </c>
      <c r="F75" s="41">
        <v>2.95</v>
      </c>
      <c r="G75" s="41">
        <f t="shared" si="1"/>
        <v>2.95</v>
      </c>
    </row>
    <row r="76" spans="1:7" x14ac:dyDescent="0.3">
      <c r="A76" s="79"/>
      <c r="B76" s="36" t="s">
        <v>198</v>
      </c>
      <c r="C76" s="32" t="s">
        <v>199</v>
      </c>
      <c r="D76" s="38">
        <v>1</v>
      </c>
      <c r="E76" s="34" t="s">
        <v>92</v>
      </c>
      <c r="F76" s="41">
        <v>1.85</v>
      </c>
      <c r="G76" s="41">
        <f t="shared" si="1"/>
        <v>1.85</v>
      </c>
    </row>
    <row r="77" spans="1:7" x14ac:dyDescent="0.3">
      <c r="A77" s="79"/>
      <c r="B77" s="36" t="s">
        <v>200</v>
      </c>
      <c r="C77" s="32" t="s">
        <v>201</v>
      </c>
      <c r="D77" s="38">
        <v>5</v>
      </c>
      <c r="E77" s="34" t="s">
        <v>92</v>
      </c>
      <c r="F77" s="41">
        <v>0.45</v>
      </c>
      <c r="G77" s="41">
        <f t="shared" si="1"/>
        <v>2.25</v>
      </c>
    </row>
    <row r="78" spans="1:7" x14ac:dyDescent="0.3">
      <c r="A78" s="79"/>
      <c r="B78" s="36" t="s">
        <v>202</v>
      </c>
      <c r="C78" s="32" t="s">
        <v>203</v>
      </c>
      <c r="D78" s="38">
        <v>1</v>
      </c>
      <c r="E78" s="34" t="s">
        <v>111</v>
      </c>
      <c r="F78" s="41">
        <v>2</v>
      </c>
      <c r="G78" s="41">
        <f t="shared" si="1"/>
        <v>2</v>
      </c>
    </row>
    <row r="79" spans="1:7" x14ac:dyDescent="0.3">
      <c r="A79" s="79"/>
      <c r="B79" s="36" t="s">
        <v>204</v>
      </c>
      <c r="C79" s="32" t="s">
        <v>205</v>
      </c>
      <c r="D79" s="38">
        <v>1</v>
      </c>
      <c r="E79" s="34" t="s">
        <v>92</v>
      </c>
      <c r="F79" s="41">
        <v>0.88</v>
      </c>
      <c r="G79" s="41">
        <f t="shared" si="1"/>
        <v>0.88</v>
      </c>
    </row>
    <row r="80" spans="1:7" x14ac:dyDescent="0.3">
      <c r="A80" s="79"/>
      <c r="B80" s="36" t="s">
        <v>206</v>
      </c>
      <c r="C80" s="32" t="s">
        <v>207</v>
      </c>
      <c r="D80" s="38">
        <v>1</v>
      </c>
      <c r="E80" s="34" t="s">
        <v>92</v>
      </c>
      <c r="F80" s="41">
        <v>3.65</v>
      </c>
      <c r="G80" s="41">
        <f t="shared" si="1"/>
        <v>3.65</v>
      </c>
    </row>
    <row r="81" spans="1:7" x14ac:dyDescent="0.3">
      <c r="A81" s="79"/>
      <c r="B81" s="36" t="s">
        <v>208</v>
      </c>
      <c r="C81" s="32" t="s">
        <v>209</v>
      </c>
      <c r="D81" s="38">
        <v>1</v>
      </c>
      <c r="E81" s="34" t="s">
        <v>92</v>
      </c>
      <c r="F81" s="41">
        <v>2.63</v>
      </c>
      <c r="G81" s="41">
        <f t="shared" si="1"/>
        <v>2.63</v>
      </c>
    </row>
    <row r="82" spans="1:7" x14ac:dyDescent="0.3">
      <c r="A82" s="79"/>
      <c r="B82" s="36" t="s">
        <v>210</v>
      </c>
      <c r="C82" s="32" t="s">
        <v>211</v>
      </c>
      <c r="D82" s="38">
        <v>2</v>
      </c>
      <c r="E82" s="34" t="s">
        <v>92</v>
      </c>
      <c r="F82" s="41">
        <v>0.33</v>
      </c>
      <c r="G82" s="41">
        <f t="shared" si="1"/>
        <v>0.66</v>
      </c>
    </row>
    <row r="83" spans="1:7" x14ac:dyDescent="0.3">
      <c r="A83" s="79"/>
      <c r="B83" s="36" t="s">
        <v>212</v>
      </c>
      <c r="C83" s="32" t="s">
        <v>213</v>
      </c>
      <c r="D83" s="38">
        <v>1</v>
      </c>
      <c r="E83" s="34" t="s">
        <v>111</v>
      </c>
      <c r="F83" s="41">
        <v>4.1399999999999997</v>
      </c>
      <c r="G83" s="41">
        <f t="shared" si="1"/>
        <v>4.1399999999999997</v>
      </c>
    </row>
    <row r="84" spans="1:7" x14ac:dyDescent="0.3">
      <c r="A84" s="79"/>
      <c r="B84" s="36" t="s">
        <v>214</v>
      </c>
      <c r="C84" s="32" t="s">
        <v>215</v>
      </c>
      <c r="D84" s="38">
        <v>2</v>
      </c>
      <c r="E84" s="34" t="s">
        <v>92</v>
      </c>
      <c r="F84" s="41">
        <v>1.5</v>
      </c>
      <c r="G84" s="41">
        <f t="shared" si="1"/>
        <v>3</v>
      </c>
    </row>
    <row r="85" spans="1:7" x14ac:dyDescent="0.3">
      <c r="A85" s="79"/>
      <c r="B85" s="36" t="s">
        <v>216</v>
      </c>
      <c r="C85" s="32" t="s">
        <v>217</v>
      </c>
      <c r="D85" s="38">
        <v>50</v>
      </c>
      <c r="E85" s="34" t="s">
        <v>92</v>
      </c>
      <c r="F85" s="41">
        <v>0.25</v>
      </c>
      <c r="G85" s="41">
        <f t="shared" si="1"/>
        <v>12.5</v>
      </c>
    </row>
    <row r="86" spans="1:7" x14ac:dyDescent="0.3">
      <c r="A86" s="79" t="s">
        <v>270</v>
      </c>
      <c r="B86" s="36" t="s">
        <v>265</v>
      </c>
      <c r="C86" s="32" t="s">
        <v>266</v>
      </c>
      <c r="D86" s="34">
        <f>IF(AND('Selection List'!B1=30,'Selection List'!B7=1),2,0)</f>
        <v>0</v>
      </c>
      <c r="E86" s="34" t="s">
        <v>92</v>
      </c>
      <c r="F86" s="41">
        <v>417</v>
      </c>
      <c r="G86" s="41">
        <f t="shared" si="1"/>
        <v>0</v>
      </c>
    </row>
    <row r="87" spans="1:7" x14ac:dyDescent="0.3">
      <c r="A87" s="79"/>
      <c r="B87" s="36" t="s">
        <v>267</v>
      </c>
      <c r="C87" s="32" t="s">
        <v>268</v>
      </c>
      <c r="D87" s="34">
        <f>IF(AND('Selection List'!B1=23,'Selection List'!B7=1),2,0)</f>
        <v>0</v>
      </c>
      <c r="E87" s="34" t="s">
        <v>92</v>
      </c>
      <c r="F87" s="41">
        <v>300</v>
      </c>
      <c r="G87" s="41">
        <f t="shared" si="1"/>
        <v>0</v>
      </c>
    </row>
    <row r="88" spans="1:7" x14ac:dyDescent="0.3">
      <c r="A88" s="79"/>
      <c r="B88" s="36" t="s">
        <v>269</v>
      </c>
      <c r="C88" s="32" t="s">
        <v>271</v>
      </c>
      <c r="D88" s="34">
        <f>IF(AND('Selection List'!B1=17,'Selection List'!B7=1),1,0)</f>
        <v>0</v>
      </c>
      <c r="E88" s="34" t="s">
        <v>92</v>
      </c>
      <c r="F88" s="41">
        <v>525</v>
      </c>
      <c r="G88" s="41">
        <f t="shared" si="1"/>
        <v>0</v>
      </c>
    </row>
    <row r="89" spans="1:7" x14ac:dyDescent="0.3">
      <c r="A89" s="79" t="s">
        <v>253</v>
      </c>
      <c r="B89" s="36" t="s">
        <v>182</v>
      </c>
      <c r="C89" s="66" t="s">
        <v>183</v>
      </c>
      <c r="D89" s="34">
        <f>IF(AND('Selection List'!B1=30,OR('Selection List'!B2="B",'Selection List'!B2="M")),3,IF(AND('Selection List'!B1=23,OR('Selection List'!B2="B",'Selection List'!B2="M")),3,IF(AND('Selection List'!B1=17,OR('Selection List'!B2="B",'Selection List'!B2="M")),2,0)))</f>
        <v>3</v>
      </c>
      <c r="E89" s="34" t="s">
        <v>92</v>
      </c>
      <c r="F89" s="41">
        <v>7.89</v>
      </c>
      <c r="G89" s="41">
        <f t="shared" si="1"/>
        <v>23.669999999999998</v>
      </c>
    </row>
    <row r="90" spans="1:7" x14ac:dyDescent="0.3">
      <c r="A90" s="79"/>
      <c r="B90" s="36" t="s">
        <v>184</v>
      </c>
      <c r="C90" s="66" t="s">
        <v>185</v>
      </c>
      <c r="D90" s="34">
        <f>IF('Selection List'!B2="F",2,0)</f>
        <v>0</v>
      </c>
      <c r="E90" s="34" t="s">
        <v>92</v>
      </c>
      <c r="F90" s="41">
        <v>4.12</v>
      </c>
      <c r="G90" s="41">
        <f t="shared" si="1"/>
        <v>0</v>
      </c>
    </row>
    <row r="91" spans="1:7" x14ac:dyDescent="0.3">
      <c r="A91" s="79"/>
      <c r="B91" s="36" t="s">
        <v>186</v>
      </c>
      <c r="C91" s="66" t="s">
        <v>187</v>
      </c>
      <c r="D91" s="34">
        <f>IF(AND('Selection List'!B1=30,OR('Selection List'!B2="B",'Selection List'!B2="M")),1,IF(AND('Selection List'!B1=23,OR('Selection List'!B2="B",'Selection List'!B2="M")),2,IF(AND('Selection List'!B1=17,OR('Selection List'!B2="B",'Selection List'!B2="M")),1,0)))</f>
        <v>1</v>
      </c>
      <c r="E91" s="34" t="s">
        <v>92</v>
      </c>
      <c r="F91" s="41">
        <v>0.89</v>
      </c>
      <c r="G91" s="41">
        <f t="shared" si="1"/>
        <v>0.89</v>
      </c>
    </row>
    <row r="92" spans="1:7" x14ac:dyDescent="0.3">
      <c r="A92" s="79"/>
      <c r="B92" s="36" t="s">
        <v>188</v>
      </c>
      <c r="C92" s="66" t="s">
        <v>189</v>
      </c>
      <c r="D92" s="34">
        <f>IF(AND('Selection List'!B1=30,OR('Selection List'!B2="B",'Selection List'!B2="M")),5,IF(AND('Selection List'!B1=23,OR('Selection List'!B2="B",'Selection List'!B2="M")),4,IF(AND('Selection List'!B1=17,OR('Selection List'!B2="B",'Selection List'!B2="M")),3,0)))</f>
        <v>5</v>
      </c>
      <c r="E92" s="34" t="s">
        <v>92</v>
      </c>
      <c r="F92" s="41">
        <v>0.89</v>
      </c>
      <c r="G92" s="41">
        <f t="shared" si="1"/>
        <v>4.45</v>
      </c>
    </row>
    <row r="93" spans="1:7" x14ac:dyDescent="0.3">
      <c r="A93" s="79"/>
      <c r="B93" s="36" t="s">
        <v>190</v>
      </c>
      <c r="C93" s="66" t="s">
        <v>191</v>
      </c>
      <c r="D93" s="34">
        <v>2</v>
      </c>
      <c r="E93" s="34" t="s">
        <v>92</v>
      </c>
      <c r="F93" s="41">
        <v>0.89</v>
      </c>
      <c r="G93" s="41">
        <f t="shared" si="1"/>
        <v>1.78</v>
      </c>
    </row>
    <row r="94" spans="1:7" ht="15" customHeight="1" x14ac:dyDescent="0.3">
      <c r="A94" s="79"/>
      <c r="B94" s="36" t="s">
        <v>194</v>
      </c>
      <c r="C94" s="66" t="s">
        <v>195</v>
      </c>
      <c r="D94" s="34">
        <v>200</v>
      </c>
      <c r="E94" s="34" t="s">
        <v>92</v>
      </c>
      <c r="F94" s="41">
        <v>0.05</v>
      </c>
      <c r="G94" s="41">
        <f t="shared" si="1"/>
        <v>10</v>
      </c>
    </row>
    <row r="95" spans="1:7" ht="32.4" x14ac:dyDescent="0.3">
      <c r="A95" s="79"/>
      <c r="B95" s="68" t="s">
        <v>620</v>
      </c>
      <c r="C95" s="67" t="s">
        <v>601</v>
      </c>
      <c r="D95" s="33">
        <f>IF('Selection List'!B8="S",2,0)+IF(OR('Selection List'!B10="E",'Selection List'!B10="P"),1,0)</f>
        <v>2</v>
      </c>
      <c r="E95" s="34" t="s">
        <v>92</v>
      </c>
      <c r="F95" s="41">
        <v>1.2</v>
      </c>
      <c r="G95" s="41">
        <f t="shared" si="1"/>
        <v>2.4</v>
      </c>
    </row>
    <row r="96" spans="1:7" ht="32.4" x14ac:dyDescent="0.3">
      <c r="A96" s="79"/>
      <c r="B96" s="68" t="s">
        <v>619</v>
      </c>
      <c r="C96" s="67" t="s">
        <v>602</v>
      </c>
      <c r="D96" s="33">
        <f>IF(AND('Selection List'!B1=30,'Selection List'!B2="F"),5,IF(AND('Selection List'!B1=30,'Selection List'!B2="M"),5,IF(AND('Selection List'!B1=30,'Selection List'!B2="B"),6,IF(AND('Selection List'!B1=23,'Selection List'!B2="F"),4,IF(AND('Selection List'!B1=23,'Selection List'!B2="M"),4,IF(AND('Selection List'!B1=23,'Selection List'!B2="B"),5,IF(AND('Selection List'!B1=17,'Selection List'!B2="F"),3,IF(AND('Selection List'!B1=17,'Selection List'!B2="M"),4,IF(AND('Selection List'!B1=17,'Selection List'!B2="B"),4,"VEYY")))))))))</f>
        <v>6</v>
      </c>
      <c r="E96" s="34" t="s">
        <v>92</v>
      </c>
      <c r="F96" s="41">
        <v>5.61</v>
      </c>
      <c r="G96" s="41">
        <f t="shared" si="1"/>
        <v>33.660000000000004</v>
      </c>
    </row>
    <row r="97" spans="1:20" ht="32.4" x14ac:dyDescent="0.3">
      <c r="A97" s="79"/>
      <c r="B97" s="68" t="s">
        <v>618</v>
      </c>
      <c r="C97" s="67" t="s">
        <v>603</v>
      </c>
      <c r="D97" s="33">
        <f>IF(AND('Selection List'!B1=30,'Selection List'!B2="F"),2,IF(AND('Selection List'!B1=30,'Selection List'!B2="M"),3,IF(AND('Selection List'!B1=30,'Selection List'!B2="B"),3,IF(AND('Selection List'!B1=23,'Selection List'!B2="F"),3,IF(AND('Selection List'!B1=23,'Selection List'!B2="M"),3,IF(AND('Selection List'!B1=23,'Selection List'!B2="B"),3,IF(AND('Selection List'!B1=17,'Selection List'!B2="F"),3,IF(AND('Selection List'!B1=17,'Selection List'!B2="M"),2,IF(AND('Selection List'!B1=17,'Selection List'!B2="B"),4,"VEYY")))))))))</f>
        <v>3</v>
      </c>
      <c r="E97" s="34" t="s">
        <v>92</v>
      </c>
      <c r="F97" s="41">
        <v>6.7</v>
      </c>
      <c r="G97" s="41">
        <f t="shared" si="1"/>
        <v>20.100000000000001</v>
      </c>
    </row>
    <row r="98" spans="1:20" ht="32.4" x14ac:dyDescent="0.3">
      <c r="A98" s="79"/>
      <c r="B98" s="68" t="s">
        <v>617</v>
      </c>
      <c r="C98" s="67" t="s">
        <v>604</v>
      </c>
      <c r="D98" s="33">
        <f>IF(AND('Selection List'!B1=30,'Selection List'!B2="F"),2,IF(AND('Selection List'!B1=30,'Selection List'!B2="M"),3,IF(AND('Selection List'!B1=30,'Selection List'!B2="B"),2,IF(AND('Selection List'!B1=23,'Selection List'!B2="F"),1,IF(AND('Selection List'!B1=23,'Selection List'!B2="M"),3,IF(AND('Selection List'!B1=23,'Selection List'!B2="B"),2,IF(AND('Selection List'!B1=17,'Selection List'!B2="F"),2,IF(AND('Selection List'!B1=17,'Selection List'!B2="M"),4,IF(AND('Selection List'!B1=17,'Selection List'!B2="B"),2,"VEYY")))))))))</f>
        <v>2</v>
      </c>
      <c r="E98" s="34" t="s">
        <v>92</v>
      </c>
      <c r="F98" s="41">
        <v>8.91</v>
      </c>
      <c r="G98" s="41">
        <f t="shared" si="1"/>
        <v>17.82</v>
      </c>
    </row>
    <row r="99" spans="1:20" ht="32.4" x14ac:dyDescent="0.3">
      <c r="A99" s="79"/>
      <c r="B99" s="68" t="s">
        <v>616</v>
      </c>
      <c r="C99" s="67" t="s">
        <v>605</v>
      </c>
      <c r="D99" s="33">
        <f>IF(AND('Selection List'!B1=30,'Selection List'!B2="F"),1,IF(AND('Selection List'!B1=30,'Selection List'!B2="M"),1,IF(AND('Selection List'!B1=30,'Selection List'!B2="B"),1,IF(AND('Selection List'!B1=23,'Selection List'!B2="F"),1,IF(AND('Selection List'!B1=23,'Selection List'!B2="M"),1,IF(AND('Selection List'!B1=23,'Selection List'!B2="B"),1,IF(AND('Selection List'!B1=17,'Selection List'!B2="F"),0,IF(AND('Selection List'!B1=17,'Selection List'!B2="M"),0,IF(AND('Selection List'!B1=17,'Selection List'!B2="B"),0,"VEYY")))))))))</f>
        <v>1</v>
      </c>
      <c r="E99" s="34" t="s">
        <v>92</v>
      </c>
      <c r="F99" s="41">
        <v>14.4</v>
      </c>
      <c r="G99" s="41">
        <f t="shared" si="1"/>
        <v>14.4</v>
      </c>
    </row>
    <row r="100" spans="1:20" x14ac:dyDescent="0.3">
      <c r="A100" s="79"/>
      <c r="B100" s="36" t="s">
        <v>274</v>
      </c>
      <c r="C100" s="66" t="s">
        <v>279</v>
      </c>
      <c r="D100" s="33">
        <f>IF('Selection List'!B1=17,5,IF('Selection List'!B1=23,6,IF('Selection List'!B1=30,7,"veyy")))+IF('Selection List'!B8="O",2,0)</f>
        <v>7</v>
      </c>
      <c r="E100" s="34" t="s">
        <v>92</v>
      </c>
      <c r="F100" s="41">
        <v>18.350000000000001</v>
      </c>
      <c r="G100" s="41">
        <f t="shared" si="1"/>
        <v>128.45000000000002</v>
      </c>
    </row>
    <row r="101" spans="1:20" ht="32.4" x14ac:dyDescent="0.3">
      <c r="A101" s="79"/>
      <c r="B101" s="68" t="s">
        <v>615</v>
      </c>
      <c r="C101" s="67" t="s">
        <v>597</v>
      </c>
      <c r="D101" s="33">
        <f>IF('Selection List'!B1=17,6,IF('Selection List'!B1=23,7,IF('Selection List'!B1=30,8,"veyy")))</f>
        <v>8</v>
      </c>
      <c r="E101" s="34" t="s">
        <v>92</v>
      </c>
      <c r="F101" s="41">
        <v>6.6</v>
      </c>
      <c r="G101" s="41">
        <f t="shared" si="1"/>
        <v>52.8</v>
      </c>
    </row>
    <row r="102" spans="1:20" x14ac:dyDescent="0.3">
      <c r="A102" s="79"/>
      <c r="B102" s="36" t="s">
        <v>275</v>
      </c>
      <c r="C102" s="66" t="s">
        <v>280</v>
      </c>
      <c r="D102" s="33">
        <f>IF('Selection List'!B1=17,3,IF('Selection List'!B1=23,4,IF('Selection List'!B1=30,5,"veyy")))</f>
        <v>5</v>
      </c>
      <c r="E102" s="34" t="s">
        <v>92</v>
      </c>
      <c r="F102" s="41">
        <v>2.5</v>
      </c>
      <c r="G102" s="41">
        <f t="shared" si="1"/>
        <v>12.5</v>
      </c>
    </row>
    <row r="103" spans="1:20" x14ac:dyDescent="0.3">
      <c r="A103" s="79"/>
      <c r="B103" s="36" t="s">
        <v>276</v>
      </c>
      <c r="C103" s="66" t="s">
        <v>281</v>
      </c>
      <c r="D103" s="33">
        <f>IF('Selection List'!B1=17,5,IF('Selection List'!B1=23,6,IF('Selection List'!B1=30,7,"veyy")))</f>
        <v>7</v>
      </c>
      <c r="E103" s="34" t="s">
        <v>92</v>
      </c>
      <c r="F103" s="41">
        <v>1.5</v>
      </c>
      <c r="G103" s="41">
        <f t="shared" si="1"/>
        <v>10.5</v>
      </c>
    </row>
    <row r="104" spans="1:20" x14ac:dyDescent="0.3">
      <c r="A104" s="79"/>
      <c r="B104" s="36" t="s">
        <v>284</v>
      </c>
      <c r="C104" s="66" t="s">
        <v>285</v>
      </c>
      <c r="D104" s="33">
        <v>2</v>
      </c>
      <c r="E104" s="34" t="s">
        <v>92</v>
      </c>
      <c r="F104" s="41">
        <v>2.2999999999999998</v>
      </c>
      <c r="G104" s="41">
        <f t="shared" si="1"/>
        <v>4.5999999999999996</v>
      </c>
      <c r="H104" s="30"/>
      <c r="N104" s="30"/>
      <c r="O104" s="30"/>
      <c r="P104" s="30"/>
      <c r="Q104" s="30"/>
      <c r="R104" s="30"/>
      <c r="S104" s="30"/>
      <c r="T104" s="30"/>
    </row>
    <row r="105" spans="1:20" x14ac:dyDescent="0.3">
      <c r="A105" s="79"/>
      <c r="B105" s="36" t="s">
        <v>277</v>
      </c>
      <c r="C105" s="66" t="s">
        <v>282</v>
      </c>
      <c r="D105" s="33">
        <f>IF('Selection List'!B1=17,6,IF('Selection List'!B1=23,7,IF('Selection List'!B1=30,8,"veyy")))</f>
        <v>8</v>
      </c>
      <c r="E105" s="34" t="s">
        <v>92</v>
      </c>
      <c r="F105" s="41">
        <v>19.350000000000001</v>
      </c>
      <c r="G105" s="41">
        <f t="shared" si="1"/>
        <v>154.80000000000001</v>
      </c>
    </row>
    <row r="106" spans="1:20" ht="32.4" x14ac:dyDescent="0.3">
      <c r="A106" s="79"/>
      <c r="B106" s="68" t="s">
        <v>614</v>
      </c>
      <c r="C106" s="67" t="s">
        <v>606</v>
      </c>
      <c r="D106" s="33">
        <f>IF(Sheet1!B11="N",0,1)</f>
        <v>1</v>
      </c>
      <c r="E106" s="34" t="s">
        <v>92</v>
      </c>
      <c r="F106" s="41">
        <v>2.86</v>
      </c>
      <c r="G106" s="41">
        <f t="shared" si="1"/>
        <v>2.86</v>
      </c>
    </row>
    <row r="107" spans="1:20" x14ac:dyDescent="0.3">
      <c r="A107" s="79"/>
      <c r="B107" s="68" t="s">
        <v>278</v>
      </c>
      <c r="C107" s="66" t="s">
        <v>283</v>
      </c>
      <c r="D107" s="33">
        <f>IF('Selection List'!B8="O",2,0)</f>
        <v>0</v>
      </c>
      <c r="E107" s="34" t="s">
        <v>92</v>
      </c>
      <c r="F107" s="41">
        <v>2</v>
      </c>
      <c r="G107" s="41">
        <f t="shared" si="1"/>
        <v>0</v>
      </c>
    </row>
    <row r="108" spans="1:20" x14ac:dyDescent="0.3">
      <c r="A108" s="79"/>
      <c r="B108" s="68" t="s">
        <v>613</v>
      </c>
      <c r="C108" s="67" t="s">
        <v>608</v>
      </c>
      <c r="D108" s="33">
        <f>IF('Selection List'!B1=30,5,IF('Selection List'!B1=23,4,3))</f>
        <v>5</v>
      </c>
      <c r="E108" s="34" t="s">
        <v>92</v>
      </c>
      <c r="F108" s="41">
        <v>2.5</v>
      </c>
      <c r="G108" s="41">
        <f t="shared" si="1"/>
        <v>12.5</v>
      </c>
    </row>
    <row r="109" spans="1:20" ht="32.4" x14ac:dyDescent="0.3">
      <c r="A109" s="79"/>
      <c r="B109" s="68" t="s">
        <v>612</v>
      </c>
      <c r="C109" s="67" t="s">
        <v>598</v>
      </c>
      <c r="D109" s="33">
        <v>2</v>
      </c>
      <c r="E109" s="34" t="s">
        <v>92</v>
      </c>
      <c r="F109" s="41">
        <v>39.5</v>
      </c>
      <c r="G109" s="41">
        <f t="shared" si="1"/>
        <v>79</v>
      </c>
    </row>
    <row r="110" spans="1:20" ht="32.4" x14ac:dyDescent="0.3">
      <c r="A110" s="79"/>
      <c r="B110" s="68" t="s">
        <v>611</v>
      </c>
      <c r="C110" s="67" t="s">
        <v>599</v>
      </c>
      <c r="D110" s="33">
        <v>1</v>
      </c>
      <c r="E110" s="34" t="s">
        <v>92</v>
      </c>
      <c r="F110" s="41">
        <v>67.400000000000006</v>
      </c>
      <c r="G110" s="41">
        <f t="shared" si="1"/>
        <v>67.400000000000006</v>
      </c>
    </row>
    <row r="111" spans="1:20" ht="32.4" x14ac:dyDescent="0.3">
      <c r="A111" s="79"/>
      <c r="B111" s="68" t="s">
        <v>610</v>
      </c>
      <c r="C111" s="67" t="s">
        <v>600</v>
      </c>
      <c r="D111" s="33">
        <f>IF('Selection List'!B1=30,2,IF('Selection List'!B1=23,1,0))</f>
        <v>2</v>
      </c>
      <c r="E111" s="34" t="s">
        <v>92</v>
      </c>
      <c r="F111" s="41">
        <v>53</v>
      </c>
      <c r="G111" s="41">
        <f t="shared" si="1"/>
        <v>106</v>
      </c>
    </row>
    <row r="112" spans="1:20" ht="32.4" x14ac:dyDescent="0.3">
      <c r="A112" s="79"/>
      <c r="B112" s="68" t="s">
        <v>609</v>
      </c>
      <c r="C112" s="67" t="s">
        <v>607</v>
      </c>
      <c r="D112" s="33">
        <f>IF('Selection List'!B1=30,5,IF('Selection List'!B1=23,4,3))</f>
        <v>5</v>
      </c>
      <c r="E112" s="34" t="s">
        <v>92</v>
      </c>
      <c r="F112" s="41">
        <v>17.3</v>
      </c>
      <c r="G112" s="41">
        <f t="shared" si="1"/>
        <v>86.5</v>
      </c>
    </row>
    <row r="113" spans="1:7" x14ac:dyDescent="0.3">
      <c r="A113" s="72" t="s">
        <v>485</v>
      </c>
      <c r="B113" s="36" t="s">
        <v>497</v>
      </c>
      <c r="C113" s="32" t="s">
        <v>481</v>
      </c>
      <c r="D113" s="33">
        <f>1-IF(OR(AND('Selection List'!B1=30,'Selection List'!B5="S"),AND('Selection List'!B1=23,'Selection List'!B5="S")),1,0)</f>
        <v>1</v>
      </c>
      <c r="E113" s="34" t="s">
        <v>92</v>
      </c>
      <c r="F113" s="41">
        <v>120</v>
      </c>
      <c r="G113" s="41">
        <f t="shared" si="1"/>
        <v>120</v>
      </c>
    </row>
    <row r="114" spans="1:7" x14ac:dyDescent="0.3">
      <c r="A114" s="73"/>
      <c r="B114" s="36" t="s">
        <v>498</v>
      </c>
      <c r="C114" s="32" t="s">
        <v>482</v>
      </c>
      <c r="D114" s="33">
        <f>IF(OR(AND('Selection List'!B1=30,'Selection List'!B5="S"),AND('Selection List'!B1=23,'Selection List'!B5="S")),1,0)</f>
        <v>0</v>
      </c>
      <c r="E114" s="34" t="s">
        <v>92</v>
      </c>
      <c r="F114" s="41">
        <v>125</v>
      </c>
      <c r="G114" s="41">
        <f t="shared" si="1"/>
        <v>0</v>
      </c>
    </row>
    <row r="115" spans="1:7" x14ac:dyDescent="0.3">
      <c r="A115" s="73"/>
      <c r="B115" s="36" t="s">
        <v>433</v>
      </c>
      <c r="C115" s="32" t="s">
        <v>435</v>
      </c>
      <c r="D115" s="33" cm="1">
        <f t="array" ref="D115">IF('Selection List'!B1=17,3,IF('Selection List'!B1=23,4,IF('Selection List'!B1=30,5,veyy)))</f>
        <v>5</v>
      </c>
      <c r="E115" s="34" t="s">
        <v>92</v>
      </c>
      <c r="F115" s="41">
        <v>25.8</v>
      </c>
      <c r="G115" s="41">
        <f t="shared" si="1"/>
        <v>129</v>
      </c>
    </row>
    <row r="116" spans="1:7" x14ac:dyDescent="0.3">
      <c r="A116" s="73"/>
      <c r="B116" s="36" t="s">
        <v>434</v>
      </c>
      <c r="C116" s="32" t="s">
        <v>436</v>
      </c>
      <c r="D116" s="33" cm="1">
        <f t="array" ref="D116">IF('Selection List'!B1=17,3,IF('Selection List'!B1=23,4,IF('Selection List'!B1=30,5,veyy)))</f>
        <v>5</v>
      </c>
      <c r="E116" s="34" t="s">
        <v>92</v>
      </c>
      <c r="F116" s="41">
        <v>6</v>
      </c>
      <c r="G116" s="41">
        <f t="shared" si="1"/>
        <v>30</v>
      </c>
    </row>
    <row r="117" spans="1:7" x14ac:dyDescent="0.3">
      <c r="A117" s="73"/>
      <c r="B117" s="36" t="s">
        <v>437</v>
      </c>
      <c r="C117" s="32" t="s">
        <v>454</v>
      </c>
      <c r="D117" s="33">
        <f>IF(OR('Selection List'!B14="A",'Selection List'!B14="B"),1,0)*IF(OR(AND('Selection List'!B1=30,'Selection List'!B5="S",OR('Selection List'!B14="A",'Selection List'!B14="B")),AND('Selection List'!B1=23,'Selection List'!B5="S",OR('Selection List'!B14="A",'Selection List'!B14="B"))),0,1)</f>
        <v>0</v>
      </c>
      <c r="E117" s="34" t="s">
        <v>92</v>
      </c>
      <c r="F117" s="41">
        <v>843.33600000000001</v>
      </c>
      <c r="G117" s="41">
        <f t="shared" si="1"/>
        <v>0</v>
      </c>
    </row>
    <row r="118" spans="1:7" x14ac:dyDescent="0.3">
      <c r="A118" s="73"/>
      <c r="B118" s="36" t="s">
        <v>499</v>
      </c>
      <c r="C118" s="32" t="s">
        <v>490</v>
      </c>
      <c r="D118" s="33">
        <f>IF(OR(AND('Selection List'!B1=30,'Selection List'!B5="S",OR('Selection List'!B14="A",'Selection List'!B14="B")),AND('Selection List'!B1=23,'Selection List'!B5="S",OR('Selection List'!B14="A",'Selection List'!B14="B"))),1,0)</f>
        <v>0</v>
      </c>
      <c r="E118" s="34" t="s">
        <v>92</v>
      </c>
      <c r="F118" s="41">
        <v>896.37599999999998</v>
      </c>
      <c r="G118" s="41">
        <f t="shared" si="1"/>
        <v>0</v>
      </c>
    </row>
    <row r="119" spans="1:7" x14ac:dyDescent="0.3">
      <c r="A119" s="73"/>
      <c r="B119" s="36" t="s">
        <v>438</v>
      </c>
      <c r="C119" s="32" t="s">
        <v>455</v>
      </c>
      <c r="D119" s="33">
        <f>IF(OR('Selection List'!B14="A",'Selection List'!B14="B"),1,0)</f>
        <v>0</v>
      </c>
      <c r="E119" s="34" t="s">
        <v>92</v>
      </c>
      <c r="F119" s="41">
        <v>13.5</v>
      </c>
      <c r="G119" s="41">
        <f t="shared" si="1"/>
        <v>0</v>
      </c>
    </row>
    <row r="120" spans="1:7" x14ac:dyDescent="0.3">
      <c r="A120" s="73"/>
      <c r="B120" s="36" t="s">
        <v>439</v>
      </c>
      <c r="C120" s="32" t="s">
        <v>456</v>
      </c>
      <c r="D120" s="33">
        <f>IF(OR('Selection List'!B14="A",'Selection List'!B14="B"),1,0)</f>
        <v>0</v>
      </c>
      <c r="E120" s="34" t="s">
        <v>92</v>
      </c>
      <c r="F120" s="41">
        <v>34.83</v>
      </c>
      <c r="G120" s="41">
        <f t="shared" si="1"/>
        <v>0</v>
      </c>
    </row>
    <row r="121" spans="1:7" x14ac:dyDescent="0.3">
      <c r="A121" s="73"/>
      <c r="B121" s="36" t="s">
        <v>440</v>
      </c>
      <c r="C121" s="32" t="s">
        <v>457</v>
      </c>
      <c r="D121" s="33">
        <f>IF(OR('Selection List'!B14="A",'Selection List'!B14="B"),1,0)</f>
        <v>0</v>
      </c>
      <c r="E121" s="34" t="s">
        <v>92</v>
      </c>
      <c r="F121" s="41">
        <v>107</v>
      </c>
      <c r="G121" s="41">
        <f t="shared" si="1"/>
        <v>0</v>
      </c>
    </row>
    <row r="122" spans="1:7" x14ac:dyDescent="0.3">
      <c r="A122" s="73"/>
      <c r="B122" s="36" t="s">
        <v>441</v>
      </c>
      <c r="C122" s="32" t="s">
        <v>458</v>
      </c>
      <c r="D122" s="33">
        <f>IF('Selection List'!B15=3,1,0)</f>
        <v>0</v>
      </c>
      <c r="E122" s="34" t="s">
        <v>92</v>
      </c>
      <c r="F122" s="41">
        <v>100.2</v>
      </c>
      <c r="G122" s="41">
        <f t="shared" si="1"/>
        <v>0</v>
      </c>
    </row>
    <row r="123" spans="1:7" x14ac:dyDescent="0.3">
      <c r="A123" s="73"/>
      <c r="B123" s="36" t="s">
        <v>442</v>
      </c>
      <c r="C123" s="32" t="s">
        <v>459</v>
      </c>
      <c r="D123" s="33">
        <f>IF('Selection List'!B15=3,3,0)+IF('Selection List'!B17=1,3,0)</f>
        <v>0</v>
      </c>
      <c r="E123" s="34" t="s">
        <v>92</v>
      </c>
      <c r="F123" s="41">
        <v>55</v>
      </c>
      <c r="G123" s="41">
        <f t="shared" si="1"/>
        <v>0</v>
      </c>
    </row>
    <row r="124" spans="1:7" x14ac:dyDescent="0.3">
      <c r="A124" s="73"/>
      <c r="B124" s="36" t="s">
        <v>443</v>
      </c>
      <c r="C124" s="32" t="s">
        <v>460</v>
      </c>
      <c r="D124" s="33">
        <f>IF('Selection List'!B17=1,1,0)</f>
        <v>0</v>
      </c>
      <c r="E124" s="34" t="s">
        <v>92</v>
      </c>
      <c r="F124" s="41">
        <v>4225</v>
      </c>
      <c r="G124" s="41">
        <f t="shared" si="1"/>
        <v>0</v>
      </c>
    </row>
    <row r="125" spans="1:7" x14ac:dyDescent="0.3">
      <c r="A125" s="73"/>
      <c r="B125" s="36" t="s">
        <v>444</v>
      </c>
      <c r="C125" s="32" t="s">
        <v>461</v>
      </c>
      <c r="D125" s="33">
        <f>IF('Selection List'!B17=1,1,0)</f>
        <v>0</v>
      </c>
      <c r="E125" s="34" t="s">
        <v>92</v>
      </c>
      <c r="F125" s="41">
        <v>162</v>
      </c>
      <c r="G125" s="41">
        <f t="shared" si="1"/>
        <v>0</v>
      </c>
    </row>
    <row r="126" spans="1:7" x14ac:dyDescent="0.3">
      <c r="A126" s="73"/>
      <c r="B126" s="36" t="s">
        <v>445</v>
      </c>
      <c r="C126" s="32" t="s">
        <v>462</v>
      </c>
      <c r="D126" s="33">
        <f>IF(OR('Selection List'!B14="U",'Selection List'!B14="B"),1,0)</f>
        <v>0</v>
      </c>
      <c r="E126" s="34" t="s">
        <v>92</v>
      </c>
      <c r="F126" s="41">
        <v>4</v>
      </c>
      <c r="G126" s="41">
        <f t="shared" si="1"/>
        <v>0</v>
      </c>
    </row>
    <row r="127" spans="1:7" x14ac:dyDescent="0.3">
      <c r="A127" s="73"/>
      <c r="B127" s="36" t="s">
        <v>446</v>
      </c>
      <c r="C127" s="32" t="s">
        <v>463</v>
      </c>
      <c r="D127" s="33">
        <f>IF(OR('Selection List'!B14="U",'Selection List'!B14="B"),1,0)</f>
        <v>0</v>
      </c>
      <c r="E127" s="34" t="s">
        <v>92</v>
      </c>
      <c r="F127" s="41">
        <v>424.08</v>
      </c>
      <c r="G127" s="41">
        <f t="shared" si="1"/>
        <v>0</v>
      </c>
    </row>
    <row r="128" spans="1:7" x14ac:dyDescent="0.3">
      <c r="A128" s="73"/>
      <c r="B128" s="36" t="s">
        <v>445</v>
      </c>
      <c r="C128" s="32" t="s">
        <v>462</v>
      </c>
      <c r="D128" s="33">
        <f>IF(OR('Selection List'!B16="U",'Selection List'!B16="B"),1,0)</f>
        <v>0</v>
      </c>
      <c r="E128" s="34" t="s">
        <v>92</v>
      </c>
      <c r="F128" s="41">
        <v>4</v>
      </c>
      <c r="G128" s="41">
        <f t="shared" si="1"/>
        <v>0</v>
      </c>
    </row>
    <row r="129" spans="1:7" x14ac:dyDescent="0.3">
      <c r="A129" s="73"/>
      <c r="B129" s="36" t="s">
        <v>447</v>
      </c>
      <c r="C129" s="32" t="s">
        <v>464</v>
      </c>
      <c r="D129" s="33">
        <f>IF('Selection List'!B18="A",1,0)</f>
        <v>0</v>
      </c>
      <c r="E129" s="34" t="s">
        <v>92</v>
      </c>
      <c r="F129" s="41">
        <v>1.7</v>
      </c>
      <c r="G129" s="41">
        <f t="shared" si="1"/>
        <v>0</v>
      </c>
    </row>
    <row r="130" spans="1:7" x14ac:dyDescent="0.3">
      <c r="A130" s="73"/>
      <c r="B130" s="36" t="s">
        <v>423</v>
      </c>
      <c r="C130" s="32" t="s">
        <v>431</v>
      </c>
      <c r="D130" s="33">
        <f>IF('Selection List'!B18="A",1,0)</f>
        <v>0</v>
      </c>
      <c r="E130" s="34" t="s">
        <v>92</v>
      </c>
      <c r="F130" s="41">
        <v>3.5</v>
      </c>
      <c r="G130" s="41">
        <f t="shared" si="1"/>
        <v>0</v>
      </c>
    </row>
    <row r="131" spans="1:7" x14ac:dyDescent="0.3">
      <c r="A131" s="73"/>
      <c r="B131" s="36" t="s">
        <v>450</v>
      </c>
      <c r="C131" s="32" t="s">
        <v>467</v>
      </c>
      <c r="D131" s="33">
        <f>IF(OR('Selection List'!B5="S",'Selection List'!B11=1,'Selection List'!B11=2,'Selection List'!B11=3,'Selection List'!B11=4,'Selection List'!B11=5,'Selection List'!B19=0,'Selection List'!B19=2,'Selection List'!B19=1,'Selection List'!B19=3),1,0)</f>
        <v>0</v>
      </c>
      <c r="E131" s="34" t="s">
        <v>92</v>
      </c>
      <c r="F131" s="41">
        <v>84.46</v>
      </c>
      <c r="G131" s="41">
        <f t="shared" ref="G131:G195" si="2">D131*F131</f>
        <v>0</v>
      </c>
    </row>
    <row r="132" spans="1:7" x14ac:dyDescent="0.3">
      <c r="A132" s="73"/>
      <c r="B132" s="36" t="s">
        <v>451</v>
      </c>
      <c r="C132" s="32" t="s">
        <v>468</v>
      </c>
      <c r="D132" s="33">
        <f>IF(OR('Selection List'!B5="S",'Selection List'!B11=1,'Selection List'!B11=2,'Selection List'!B11=3,'Selection List'!B11=4,'Selection List'!B11=5,'Selection List'!B19=0,'Selection List'!B19=2,'Selection List'!B19=1,'Selection List'!B19=3),1,0)</f>
        <v>0</v>
      </c>
      <c r="E132" s="34" t="s">
        <v>92</v>
      </c>
      <c r="F132" s="41">
        <v>7.26</v>
      </c>
      <c r="G132" s="41">
        <f t="shared" si="2"/>
        <v>0</v>
      </c>
    </row>
    <row r="133" spans="1:7" x14ac:dyDescent="0.3">
      <c r="A133" s="73"/>
      <c r="B133" s="36" t="s">
        <v>452</v>
      </c>
      <c r="C133" s="32" t="s">
        <v>469</v>
      </c>
      <c r="D133" s="33">
        <f>IF('Selection List'!B21=0,0,1)</f>
        <v>0</v>
      </c>
      <c r="E133" s="34" t="s">
        <v>92</v>
      </c>
      <c r="F133" s="41">
        <v>240</v>
      </c>
      <c r="G133" s="41">
        <f t="shared" si="2"/>
        <v>0</v>
      </c>
    </row>
    <row r="134" spans="1:7" x14ac:dyDescent="0.3">
      <c r="A134" s="73"/>
      <c r="B134" s="36" t="s">
        <v>453</v>
      </c>
      <c r="C134" s="32" t="s">
        <v>470</v>
      </c>
      <c r="D134" s="33">
        <f>IF('Selection List'!B16=1,1,0)</f>
        <v>0</v>
      </c>
      <c r="E134" s="34" t="s">
        <v>92</v>
      </c>
      <c r="F134" s="41">
        <v>112.44</v>
      </c>
      <c r="G134" s="41">
        <f t="shared" si="2"/>
        <v>0</v>
      </c>
    </row>
    <row r="135" spans="1:7" x14ac:dyDescent="0.3">
      <c r="A135" s="73"/>
      <c r="B135" s="36" t="s">
        <v>595</v>
      </c>
      <c r="C135" s="32" t="s">
        <v>596</v>
      </c>
      <c r="D135" s="33">
        <f>IF('Selection List'!B16=2,1,0)</f>
        <v>0</v>
      </c>
      <c r="E135" s="34" t="s">
        <v>92</v>
      </c>
      <c r="F135" s="41">
        <v>350.38</v>
      </c>
      <c r="G135" s="41">
        <f t="shared" si="2"/>
        <v>0</v>
      </c>
    </row>
    <row r="136" spans="1:7" x14ac:dyDescent="0.3">
      <c r="A136" s="73"/>
      <c r="B136" s="36" t="s">
        <v>500</v>
      </c>
      <c r="C136" s="32" t="s">
        <v>474</v>
      </c>
      <c r="D136" s="33">
        <f>IF('Selection List'!B16=2,1,0)</f>
        <v>0</v>
      </c>
      <c r="E136" s="34" t="s">
        <v>92</v>
      </c>
      <c r="F136" s="41">
        <v>14.445</v>
      </c>
      <c r="G136" s="41">
        <f t="shared" si="2"/>
        <v>0</v>
      </c>
    </row>
    <row r="137" spans="1:7" x14ac:dyDescent="0.3">
      <c r="A137" s="73"/>
      <c r="B137" s="36" t="s">
        <v>448</v>
      </c>
      <c r="C137" s="32" t="s">
        <v>465</v>
      </c>
      <c r="D137" s="33">
        <f>IF(OR('Selection List'!B23=1),1,0)+IF('Selection List'!B19="N",0,1)</f>
        <v>1</v>
      </c>
      <c r="E137" s="34" t="s">
        <v>92</v>
      </c>
      <c r="F137" s="41">
        <v>4.5599999999999996</v>
      </c>
      <c r="G137" s="41">
        <f t="shared" si="2"/>
        <v>4.5599999999999996</v>
      </c>
    </row>
    <row r="138" spans="1:7" x14ac:dyDescent="0.3">
      <c r="A138" s="73"/>
      <c r="B138" s="36" t="s">
        <v>449</v>
      </c>
      <c r="C138" s="32" t="s">
        <v>466</v>
      </c>
      <c r="D138" s="33">
        <f>IF(OR('Selection List'!B23=1),1,0)+IF('Selection List'!B19="N",0,1)</f>
        <v>1</v>
      </c>
      <c r="E138" s="34" t="s">
        <v>92</v>
      </c>
      <c r="F138" s="41">
        <v>2.36</v>
      </c>
      <c r="G138" s="41">
        <f t="shared" si="2"/>
        <v>2.36</v>
      </c>
    </row>
    <row r="139" spans="1:7" x14ac:dyDescent="0.3">
      <c r="A139" s="73"/>
      <c r="B139" s="36" t="s">
        <v>479</v>
      </c>
      <c r="C139" s="32" t="s">
        <v>480</v>
      </c>
      <c r="D139" s="33">
        <f>IF('Selection List'!B5="S",1,0)</f>
        <v>0</v>
      </c>
      <c r="E139" s="34" t="s">
        <v>92</v>
      </c>
      <c r="F139" s="41">
        <v>23</v>
      </c>
      <c r="G139" s="41">
        <f t="shared" si="2"/>
        <v>0</v>
      </c>
    </row>
    <row r="140" spans="1:7" ht="14.4" customHeight="1" x14ac:dyDescent="0.3">
      <c r="A140" s="73"/>
      <c r="B140" s="36" t="s">
        <v>286</v>
      </c>
      <c r="C140" s="32" t="s">
        <v>326</v>
      </c>
      <c r="D140" s="33">
        <v>2</v>
      </c>
      <c r="E140" s="34" t="s">
        <v>92</v>
      </c>
      <c r="F140" s="41">
        <v>83.89</v>
      </c>
      <c r="G140" s="41">
        <f t="shared" si="2"/>
        <v>167.78</v>
      </c>
    </row>
    <row r="141" spans="1:7" x14ac:dyDescent="0.3">
      <c r="A141" s="73"/>
      <c r="B141" s="36" t="s">
        <v>287</v>
      </c>
      <c r="C141" s="32" t="s">
        <v>325</v>
      </c>
      <c r="D141" s="33">
        <f>IF(OR('Selection List'!B10=3,'Selection List'!B10=2),1,0)</f>
        <v>1</v>
      </c>
      <c r="E141" s="34" t="s">
        <v>92</v>
      </c>
      <c r="F141" s="41">
        <v>315.51</v>
      </c>
      <c r="G141" s="41">
        <f t="shared" si="2"/>
        <v>315.51</v>
      </c>
    </row>
    <row r="142" spans="1:7" x14ac:dyDescent="0.3">
      <c r="A142" s="73"/>
      <c r="B142" s="36" t="s">
        <v>288</v>
      </c>
      <c r="C142" s="32" t="s">
        <v>323</v>
      </c>
      <c r="D142" s="33">
        <f>IF(AND('Selection List'!B10=2,OR('Selection List'!B1=23,'Selection List'!B1=30)),1,0)</f>
        <v>1</v>
      </c>
      <c r="E142" s="34" t="s">
        <v>92</v>
      </c>
      <c r="F142" s="41">
        <v>753.07</v>
      </c>
      <c r="G142" s="41">
        <f t="shared" si="2"/>
        <v>753.07</v>
      </c>
    </row>
    <row r="143" spans="1:7" x14ac:dyDescent="0.3">
      <c r="A143" s="73"/>
      <c r="B143" s="36" t="s">
        <v>289</v>
      </c>
      <c r="C143" s="32" t="s">
        <v>324</v>
      </c>
      <c r="D143" s="33">
        <f>IF(AND('Selection List'!B10=3,OR('Selection List'!B1=23,'Selection List'!B1=30)),1,0)</f>
        <v>0</v>
      </c>
      <c r="E143" s="34" t="s">
        <v>92</v>
      </c>
      <c r="F143" s="41">
        <v>898.59</v>
      </c>
      <c r="G143" s="41">
        <f t="shared" si="2"/>
        <v>0</v>
      </c>
    </row>
    <row r="144" spans="1:7" x14ac:dyDescent="0.3">
      <c r="A144" s="73"/>
      <c r="B144" s="36" t="s">
        <v>290</v>
      </c>
      <c r="C144" s="32" t="s">
        <v>322</v>
      </c>
      <c r="D144" s="33">
        <f>IF(AND('Selection List'!B10=2,'Selection List'!B1=17),1,0)</f>
        <v>0</v>
      </c>
      <c r="E144" s="34" t="s">
        <v>92</v>
      </c>
      <c r="F144" s="41">
        <v>680.31</v>
      </c>
      <c r="G144" s="41">
        <f t="shared" si="2"/>
        <v>0</v>
      </c>
    </row>
    <row r="145" spans="1:7" x14ac:dyDescent="0.3">
      <c r="A145" s="73"/>
      <c r="B145" s="36" t="s">
        <v>291</v>
      </c>
      <c r="C145" s="32" t="s">
        <v>321</v>
      </c>
      <c r="D145" s="33">
        <f>IF(AND('Selection List'!B10=3,'Selection List'!B1=17),1,0)</f>
        <v>0</v>
      </c>
      <c r="E145" s="34" t="s">
        <v>92</v>
      </c>
      <c r="F145" s="41">
        <v>690.31</v>
      </c>
      <c r="G145" s="41">
        <f t="shared" si="2"/>
        <v>0</v>
      </c>
    </row>
    <row r="146" spans="1:7" x14ac:dyDescent="0.3">
      <c r="A146" s="73"/>
      <c r="B146" s="36" t="s">
        <v>292</v>
      </c>
      <c r="C146" s="32" t="s">
        <v>320</v>
      </c>
      <c r="D146" s="33">
        <f>IF(AND('Selection List'!B10="F",'Selection List'!B1=17),1,0)</f>
        <v>0</v>
      </c>
      <c r="E146" s="34" t="s">
        <v>92</v>
      </c>
      <c r="F146" s="41">
        <v>388.04700000000003</v>
      </c>
      <c r="G146" s="41">
        <f t="shared" si="2"/>
        <v>0</v>
      </c>
    </row>
    <row r="147" spans="1:7" x14ac:dyDescent="0.3">
      <c r="A147" s="73"/>
      <c r="B147" s="36" t="s">
        <v>293</v>
      </c>
      <c r="C147" s="32" t="s">
        <v>319</v>
      </c>
      <c r="D147" s="33">
        <f>IF(AND('Selection List'!B10="F",OR('Selection List'!B1=23,'Selection List'!B1=30)),1,0)</f>
        <v>0</v>
      </c>
      <c r="E147" s="34" t="s">
        <v>92</v>
      </c>
      <c r="F147" s="41">
        <v>422.89500000000004</v>
      </c>
      <c r="G147" s="41">
        <f t="shared" si="2"/>
        <v>0</v>
      </c>
    </row>
    <row r="148" spans="1:7" x14ac:dyDescent="0.3">
      <c r="A148" s="73"/>
      <c r="B148" s="36" t="s">
        <v>294</v>
      </c>
      <c r="C148" s="32" t="s">
        <v>295</v>
      </c>
      <c r="D148" s="33">
        <f>IF(AND('Selection List'!B10="E",'Selection List'!B1=17),1,0)</f>
        <v>0</v>
      </c>
      <c r="E148" s="34" t="s">
        <v>92</v>
      </c>
      <c r="F148" s="41">
        <v>2006.3999999999999</v>
      </c>
      <c r="G148" s="41">
        <f t="shared" si="2"/>
        <v>0</v>
      </c>
    </row>
    <row r="149" spans="1:7" x14ac:dyDescent="0.3">
      <c r="A149" s="73"/>
      <c r="B149" s="36" t="s">
        <v>296</v>
      </c>
      <c r="C149" s="32" t="s">
        <v>297</v>
      </c>
      <c r="D149" s="33">
        <f>IF(AND('Selection List'!B10="E",OR('Selection List'!B1=23,'Selection List'!B1=30)),1,0)</f>
        <v>0</v>
      </c>
      <c r="E149" s="34" t="s">
        <v>92</v>
      </c>
      <c r="F149" s="41">
        <v>2328.1499999999996</v>
      </c>
      <c r="G149" s="41">
        <f t="shared" si="2"/>
        <v>0</v>
      </c>
    </row>
    <row r="150" spans="1:7" x14ac:dyDescent="0.3">
      <c r="A150" s="73"/>
      <c r="B150" s="36" t="s">
        <v>298</v>
      </c>
      <c r="C150" s="32" t="s">
        <v>299</v>
      </c>
      <c r="D150" s="33">
        <f>IF(AND('Selection List'!B10="P",'Selection List'!B1=17),1,0)</f>
        <v>0</v>
      </c>
      <c r="E150" s="34" t="s">
        <v>92</v>
      </c>
      <c r="F150" s="41">
        <v>1706.4299999999998</v>
      </c>
      <c r="G150" s="41">
        <f t="shared" si="2"/>
        <v>0</v>
      </c>
    </row>
    <row r="151" spans="1:7" x14ac:dyDescent="0.3">
      <c r="A151" s="73"/>
      <c r="B151" s="36" t="s">
        <v>300</v>
      </c>
      <c r="C151" s="32" t="s">
        <v>318</v>
      </c>
      <c r="D151" s="33">
        <f>IF(AND('Selection List'!B10="P",OR('Selection List'!B1=23,'Selection List'!B1=30)),1,0)</f>
        <v>0</v>
      </c>
      <c r="E151" s="34" t="s">
        <v>92</v>
      </c>
      <c r="F151" s="41">
        <v>1995.1799999999998</v>
      </c>
      <c r="G151" s="41">
        <f t="shared" si="2"/>
        <v>0</v>
      </c>
    </row>
    <row r="152" spans="1:7" x14ac:dyDescent="0.3">
      <c r="A152" s="73"/>
      <c r="B152" s="36" t="s">
        <v>501</v>
      </c>
      <c r="C152" s="32" t="s">
        <v>487</v>
      </c>
      <c r="D152" s="33">
        <f>IF(AND('Selection List'!B23=1,'Selection List'!B1=17),1,0)</f>
        <v>0</v>
      </c>
      <c r="E152" s="34" t="s">
        <v>92</v>
      </c>
      <c r="F152" s="41">
        <v>494.01000000000005</v>
      </c>
      <c r="G152" s="41">
        <f t="shared" si="2"/>
        <v>0</v>
      </c>
    </row>
    <row r="153" spans="1:7" x14ac:dyDescent="0.3">
      <c r="A153" s="73"/>
      <c r="B153" s="36" t="s">
        <v>502</v>
      </c>
      <c r="C153" s="32" t="s">
        <v>488</v>
      </c>
      <c r="D153" s="33">
        <f>IF(AND('Selection List'!B23=1,OR('Selection List'!B1=23,'Selection List'!B1=30)),1,0)</f>
        <v>1</v>
      </c>
      <c r="E153" s="34" t="s">
        <v>92</v>
      </c>
      <c r="F153" s="41">
        <v>524.87600000000009</v>
      </c>
      <c r="G153" s="41">
        <f t="shared" si="2"/>
        <v>524.87600000000009</v>
      </c>
    </row>
    <row r="154" spans="1:7" x14ac:dyDescent="0.3">
      <c r="A154" s="73"/>
      <c r="B154" s="36" t="s">
        <v>301</v>
      </c>
      <c r="C154" s="32" t="s">
        <v>302</v>
      </c>
      <c r="D154" s="33">
        <f>IF(OR('Selection List'!B10="E",'Selection List'!B10="P"),0,2)</f>
        <v>2</v>
      </c>
      <c r="E154" s="34" t="s">
        <v>92</v>
      </c>
      <c r="F154" s="41">
        <v>48.495000000000005</v>
      </c>
      <c r="G154" s="41">
        <f t="shared" si="2"/>
        <v>96.990000000000009</v>
      </c>
    </row>
    <row r="155" spans="1:7" x14ac:dyDescent="0.3">
      <c r="A155" s="73"/>
      <c r="B155" s="36" t="s">
        <v>303</v>
      </c>
      <c r="C155" s="32" t="s">
        <v>317</v>
      </c>
      <c r="D155" s="33">
        <f>IF(OR('Selection List'!B10="E",'Selection List'!B10="P"),0,2)</f>
        <v>2</v>
      </c>
      <c r="E155" s="34" t="s">
        <v>92</v>
      </c>
      <c r="F155" s="41">
        <v>11.1</v>
      </c>
      <c r="G155" s="41">
        <f t="shared" si="2"/>
        <v>22.2</v>
      </c>
    </row>
    <row r="156" spans="1:7" x14ac:dyDescent="0.3">
      <c r="A156" s="73"/>
      <c r="B156" s="36" t="s">
        <v>304</v>
      </c>
      <c r="C156" s="32" t="s">
        <v>316</v>
      </c>
      <c r="D156" s="33">
        <f>IF('Selection List'!B11=1,1,IF('Selection List'!B11=2,2,IF('Selection List'!B11=3,1,IF('Selection List'!B11=4,2,0))))</f>
        <v>0</v>
      </c>
      <c r="E156" s="34" t="s">
        <v>92</v>
      </c>
      <c r="F156" s="41">
        <v>69.324000000000012</v>
      </c>
      <c r="G156" s="41">
        <f t="shared" si="2"/>
        <v>0</v>
      </c>
    </row>
    <row r="157" spans="1:7" x14ac:dyDescent="0.3">
      <c r="A157" s="73"/>
      <c r="B157" s="36" t="s">
        <v>305</v>
      </c>
      <c r="C157" s="32" t="s">
        <v>315</v>
      </c>
      <c r="D157" s="33">
        <f>IF(OR('Selection List'!B11=3,'Selection List'!B11=4,'Selection List'!B11=5),1,0)</f>
        <v>0</v>
      </c>
      <c r="E157" s="34" t="s">
        <v>92</v>
      </c>
      <c r="F157" s="41">
        <v>138.2346</v>
      </c>
      <c r="G157" s="41">
        <f t="shared" si="2"/>
        <v>0</v>
      </c>
    </row>
    <row r="158" spans="1:7" x14ac:dyDescent="0.3">
      <c r="A158" s="73"/>
      <c r="B158" s="36" t="s">
        <v>306</v>
      </c>
      <c r="C158" s="32" t="s">
        <v>314</v>
      </c>
      <c r="D158" s="33">
        <f>IF(AND('Selection List'!B7=1,OR('Selection List'!B1=30,'Selection List'!B1=23)),2,IF(AND('Selection List'!B7=1,'Selection List'!B1=17),1,0))</f>
        <v>0</v>
      </c>
      <c r="E158" s="34" t="s">
        <v>92</v>
      </c>
      <c r="F158" s="41">
        <v>107.86</v>
      </c>
      <c r="G158" s="41">
        <f t="shared" si="2"/>
        <v>0</v>
      </c>
    </row>
    <row r="159" spans="1:7" x14ac:dyDescent="0.3">
      <c r="A159" s="73"/>
      <c r="B159" s="36" t="s">
        <v>307</v>
      </c>
      <c r="C159" s="32" t="s">
        <v>313</v>
      </c>
      <c r="D159" s="33">
        <f>IF('Selection List'!B8="O",2,0)</f>
        <v>0</v>
      </c>
      <c r="E159" s="34" t="s">
        <v>92</v>
      </c>
      <c r="F159" s="41">
        <v>44.85</v>
      </c>
      <c r="G159" s="41">
        <f t="shared" si="2"/>
        <v>0</v>
      </c>
    </row>
    <row r="160" spans="1:7" ht="28.8" x14ac:dyDescent="0.3">
      <c r="A160" s="73"/>
      <c r="B160" s="36" t="s">
        <v>308</v>
      </c>
      <c r="C160" s="39" t="s">
        <v>312</v>
      </c>
      <c r="D160" s="33">
        <v>1</v>
      </c>
      <c r="E160" s="34" t="s">
        <v>92</v>
      </c>
      <c r="F160" s="41">
        <v>83.54</v>
      </c>
      <c r="G160" s="41">
        <f t="shared" si="2"/>
        <v>83.54</v>
      </c>
    </row>
    <row r="161" spans="1:7" ht="28.8" x14ac:dyDescent="0.3">
      <c r="A161" s="73"/>
      <c r="B161" s="36" t="s">
        <v>309</v>
      </c>
      <c r="C161" s="39" t="s">
        <v>311</v>
      </c>
      <c r="D161" s="33">
        <v>1</v>
      </c>
      <c r="E161" s="34" t="s">
        <v>92</v>
      </c>
      <c r="F161" s="41">
        <v>95.13</v>
      </c>
      <c r="G161" s="41">
        <f t="shared" si="2"/>
        <v>95.13</v>
      </c>
    </row>
    <row r="162" spans="1:7" x14ac:dyDescent="0.3">
      <c r="A162" s="73"/>
      <c r="B162" s="36" t="s">
        <v>310</v>
      </c>
      <c r="C162" s="32" t="s">
        <v>327</v>
      </c>
      <c r="D162" s="33">
        <v>10</v>
      </c>
      <c r="E162" s="34" t="s">
        <v>111</v>
      </c>
      <c r="F162" s="41">
        <v>28.815000000000001</v>
      </c>
      <c r="G162" s="41">
        <f t="shared" si="2"/>
        <v>288.15000000000003</v>
      </c>
    </row>
    <row r="163" spans="1:7" x14ac:dyDescent="0.3">
      <c r="A163" s="73"/>
      <c r="B163" s="36" t="s">
        <v>477</v>
      </c>
      <c r="C163" s="32" t="s">
        <v>328</v>
      </c>
      <c r="D163" s="33">
        <f>IF('Selection List'!B9="O",1,0)</f>
        <v>0</v>
      </c>
      <c r="E163" s="34" t="s">
        <v>92</v>
      </c>
      <c r="F163" s="41">
        <v>20.350000000000001</v>
      </c>
      <c r="G163" s="41">
        <f t="shared" si="2"/>
        <v>0</v>
      </c>
    </row>
    <row r="164" spans="1:7" x14ac:dyDescent="0.3">
      <c r="A164" s="74"/>
      <c r="B164" s="36" t="s">
        <v>503</v>
      </c>
      <c r="C164" s="32" t="s">
        <v>489</v>
      </c>
      <c r="D164" s="33">
        <f>IF(OR('Selection List'!B19=2,'Selection List'!B19=3),1,0)</f>
        <v>0</v>
      </c>
      <c r="E164" s="34" t="s">
        <v>92</v>
      </c>
      <c r="F164" s="41">
        <v>320.10000000000002</v>
      </c>
      <c r="G164" s="41">
        <f t="shared" si="2"/>
        <v>0</v>
      </c>
    </row>
    <row r="165" spans="1:7" x14ac:dyDescent="0.3">
      <c r="A165" s="69" t="s">
        <v>471</v>
      </c>
      <c r="B165" s="36" t="s">
        <v>417</v>
      </c>
      <c r="C165" s="32" t="s">
        <v>425</v>
      </c>
      <c r="D165" s="33">
        <v>1</v>
      </c>
      <c r="E165" s="34" t="s">
        <v>92</v>
      </c>
      <c r="F165" s="41">
        <v>28.85</v>
      </c>
      <c r="G165" s="41">
        <f t="shared" si="2"/>
        <v>28.85</v>
      </c>
    </row>
    <row r="166" spans="1:7" x14ac:dyDescent="0.3">
      <c r="A166" s="70"/>
      <c r="B166" s="36" t="s">
        <v>418</v>
      </c>
      <c r="C166" s="32" t="s">
        <v>426</v>
      </c>
      <c r="D166" s="33">
        <v>3</v>
      </c>
      <c r="E166" s="34" t="s">
        <v>92</v>
      </c>
      <c r="F166" s="41">
        <v>0.25</v>
      </c>
      <c r="G166" s="41">
        <f t="shared" si="2"/>
        <v>0.75</v>
      </c>
    </row>
    <row r="167" spans="1:7" x14ac:dyDescent="0.3">
      <c r="A167" s="70"/>
      <c r="B167" s="36" t="s">
        <v>419</v>
      </c>
      <c r="C167" s="32" t="s">
        <v>427</v>
      </c>
      <c r="D167" s="33">
        <v>1</v>
      </c>
      <c r="E167" s="34" t="s">
        <v>92</v>
      </c>
      <c r="F167" s="41">
        <v>11.299999999999999</v>
      </c>
      <c r="G167" s="41">
        <f t="shared" si="2"/>
        <v>11.299999999999999</v>
      </c>
    </row>
    <row r="168" spans="1:7" x14ac:dyDescent="0.3">
      <c r="A168" s="70"/>
      <c r="B168" s="36" t="s">
        <v>420</v>
      </c>
      <c r="C168" s="32" t="s">
        <v>428</v>
      </c>
      <c r="D168" s="33">
        <v>1</v>
      </c>
      <c r="E168" s="34" t="s">
        <v>92</v>
      </c>
      <c r="F168" s="41">
        <v>29.05</v>
      </c>
      <c r="G168" s="41">
        <f t="shared" si="2"/>
        <v>29.05</v>
      </c>
    </row>
    <row r="169" spans="1:7" x14ac:dyDescent="0.3">
      <c r="A169" s="70"/>
      <c r="B169" s="36" t="s">
        <v>421</v>
      </c>
      <c r="C169" s="32" t="s">
        <v>429</v>
      </c>
      <c r="D169" s="33">
        <v>1</v>
      </c>
      <c r="E169" s="34" t="s">
        <v>92</v>
      </c>
      <c r="F169" s="41">
        <v>5.63</v>
      </c>
      <c r="G169" s="41">
        <f t="shared" si="2"/>
        <v>5.63</v>
      </c>
    </row>
    <row r="170" spans="1:7" x14ac:dyDescent="0.3">
      <c r="A170" s="70"/>
      <c r="B170" s="36" t="s">
        <v>422</v>
      </c>
      <c r="C170" s="32" t="s">
        <v>430</v>
      </c>
      <c r="D170" s="33">
        <v>1</v>
      </c>
      <c r="E170" s="34" t="s">
        <v>92</v>
      </c>
      <c r="F170" s="41">
        <v>34.200000000000003</v>
      </c>
      <c r="G170" s="41">
        <f t="shared" si="2"/>
        <v>34.200000000000003</v>
      </c>
    </row>
    <row r="171" spans="1:7" x14ac:dyDescent="0.3">
      <c r="A171" s="70"/>
      <c r="B171" s="36" t="s">
        <v>423</v>
      </c>
      <c r="C171" s="32" t="s">
        <v>431</v>
      </c>
      <c r="D171" s="33">
        <v>1</v>
      </c>
      <c r="E171" s="34" t="s">
        <v>92</v>
      </c>
      <c r="F171" s="41">
        <v>3.5</v>
      </c>
      <c r="G171" s="41">
        <f t="shared" si="2"/>
        <v>3.5</v>
      </c>
    </row>
    <row r="172" spans="1:7" x14ac:dyDescent="0.3">
      <c r="A172" s="70"/>
      <c r="B172" s="36" t="s">
        <v>424</v>
      </c>
      <c r="C172" s="32" t="s">
        <v>432</v>
      </c>
      <c r="D172" s="33">
        <v>1</v>
      </c>
      <c r="E172" s="34" t="s">
        <v>92</v>
      </c>
      <c r="F172" s="41">
        <v>9.15</v>
      </c>
      <c r="G172" s="41">
        <f t="shared" si="2"/>
        <v>9.15</v>
      </c>
    </row>
    <row r="173" spans="1:7" x14ac:dyDescent="0.3">
      <c r="A173" s="70"/>
      <c r="B173" s="36" t="s">
        <v>405</v>
      </c>
      <c r="C173" s="32" t="s">
        <v>411</v>
      </c>
      <c r="D173" s="33">
        <v>1</v>
      </c>
      <c r="E173" s="34" t="s">
        <v>92</v>
      </c>
      <c r="F173" s="41">
        <v>0.26</v>
      </c>
      <c r="G173" s="41">
        <f t="shared" si="2"/>
        <v>0.26</v>
      </c>
    </row>
    <row r="174" spans="1:7" x14ac:dyDescent="0.3">
      <c r="A174" s="70"/>
      <c r="B174" s="36" t="s">
        <v>406</v>
      </c>
      <c r="C174" s="32" t="s">
        <v>412</v>
      </c>
      <c r="D174" s="33">
        <v>3</v>
      </c>
      <c r="E174" s="34" t="s">
        <v>92</v>
      </c>
      <c r="F174" s="41">
        <v>2.35</v>
      </c>
      <c r="G174" s="41">
        <f t="shared" si="2"/>
        <v>7.0500000000000007</v>
      </c>
    </row>
    <row r="175" spans="1:7" x14ac:dyDescent="0.3">
      <c r="A175" s="70"/>
      <c r="B175" s="36" t="s">
        <v>407</v>
      </c>
      <c r="C175" s="32" t="s">
        <v>413</v>
      </c>
      <c r="D175" s="33">
        <v>1</v>
      </c>
      <c r="E175" s="34" t="s">
        <v>92</v>
      </c>
      <c r="F175" s="41">
        <v>223.16</v>
      </c>
      <c r="G175" s="41">
        <f t="shared" si="2"/>
        <v>223.16</v>
      </c>
    </row>
    <row r="176" spans="1:7" x14ac:dyDescent="0.3">
      <c r="A176" s="70"/>
      <c r="B176" s="36" t="s">
        <v>408</v>
      </c>
      <c r="C176" s="32" t="s">
        <v>414</v>
      </c>
      <c r="D176" s="33">
        <v>1</v>
      </c>
      <c r="E176" s="34" t="s">
        <v>92</v>
      </c>
      <c r="F176" s="41">
        <v>11.94</v>
      </c>
      <c r="G176" s="41">
        <f t="shared" si="2"/>
        <v>11.94</v>
      </c>
    </row>
    <row r="177" spans="1:7" x14ac:dyDescent="0.3">
      <c r="A177" s="70"/>
      <c r="B177" s="36" t="s">
        <v>409</v>
      </c>
      <c r="C177" s="32" t="s">
        <v>415</v>
      </c>
      <c r="D177" s="33">
        <v>1</v>
      </c>
      <c r="E177" s="34" t="s">
        <v>92</v>
      </c>
      <c r="F177" s="41">
        <v>8</v>
      </c>
      <c r="G177" s="41">
        <f t="shared" si="2"/>
        <v>8</v>
      </c>
    </row>
    <row r="178" spans="1:7" x14ac:dyDescent="0.3">
      <c r="A178" s="70"/>
      <c r="B178" s="36" t="s">
        <v>410</v>
      </c>
      <c r="C178" s="32" t="s">
        <v>416</v>
      </c>
      <c r="D178" s="33">
        <v>1</v>
      </c>
      <c r="E178" s="34" t="s">
        <v>92</v>
      </c>
      <c r="F178" s="41">
        <v>10.53</v>
      </c>
      <c r="G178" s="41">
        <f t="shared" si="2"/>
        <v>10.53</v>
      </c>
    </row>
    <row r="179" spans="1:7" x14ac:dyDescent="0.3">
      <c r="A179" s="70"/>
      <c r="B179" s="36" t="s">
        <v>329</v>
      </c>
      <c r="C179" s="32" t="s">
        <v>367</v>
      </c>
      <c r="D179" s="33">
        <v>34</v>
      </c>
      <c r="E179" s="34" t="s">
        <v>92</v>
      </c>
      <c r="F179" s="41">
        <v>0.4</v>
      </c>
      <c r="G179" s="41">
        <f t="shared" si="2"/>
        <v>13.600000000000001</v>
      </c>
    </row>
    <row r="180" spans="1:7" x14ac:dyDescent="0.3">
      <c r="A180" s="70"/>
      <c r="B180" s="36" t="s">
        <v>330</v>
      </c>
      <c r="C180" s="32" t="s">
        <v>368</v>
      </c>
      <c r="D180" s="33">
        <v>5</v>
      </c>
      <c r="E180" s="34" t="s">
        <v>92</v>
      </c>
      <c r="F180" s="41">
        <v>1.4</v>
      </c>
      <c r="G180" s="41">
        <f t="shared" si="2"/>
        <v>7</v>
      </c>
    </row>
    <row r="181" spans="1:7" x14ac:dyDescent="0.3">
      <c r="A181" s="70"/>
      <c r="B181" s="36" t="s">
        <v>331</v>
      </c>
      <c r="C181" s="32" t="s">
        <v>369</v>
      </c>
      <c r="D181" s="33">
        <v>2</v>
      </c>
      <c r="E181" s="34" t="s">
        <v>92</v>
      </c>
      <c r="F181" s="41">
        <v>2.65</v>
      </c>
      <c r="G181" s="41">
        <f t="shared" si="2"/>
        <v>5.3</v>
      </c>
    </row>
    <row r="182" spans="1:7" x14ac:dyDescent="0.3">
      <c r="A182" s="70"/>
      <c r="B182" s="36" t="s">
        <v>332</v>
      </c>
      <c r="C182" s="32" t="s">
        <v>370</v>
      </c>
      <c r="D182" s="33">
        <v>1</v>
      </c>
      <c r="E182" s="34" t="s">
        <v>92</v>
      </c>
      <c r="F182" s="41">
        <v>1.55</v>
      </c>
      <c r="G182" s="41">
        <f t="shared" si="2"/>
        <v>1.55</v>
      </c>
    </row>
    <row r="183" spans="1:7" x14ac:dyDescent="0.3">
      <c r="A183" s="70"/>
      <c r="B183" s="36" t="s">
        <v>333</v>
      </c>
      <c r="C183" s="32" t="s">
        <v>371</v>
      </c>
      <c r="D183" s="33">
        <v>1</v>
      </c>
      <c r="E183" s="34" t="s">
        <v>111</v>
      </c>
      <c r="F183" s="41">
        <v>2</v>
      </c>
      <c r="G183" s="41">
        <f t="shared" si="2"/>
        <v>2</v>
      </c>
    </row>
    <row r="184" spans="1:7" x14ac:dyDescent="0.3">
      <c r="A184" s="70"/>
      <c r="B184" s="36" t="s">
        <v>334</v>
      </c>
      <c r="C184" s="32" t="s">
        <v>372</v>
      </c>
      <c r="D184" s="33">
        <v>2</v>
      </c>
      <c r="E184" s="34" t="s">
        <v>111</v>
      </c>
      <c r="F184" s="41">
        <v>2.35</v>
      </c>
      <c r="G184" s="41">
        <f t="shared" si="2"/>
        <v>4.7</v>
      </c>
    </row>
    <row r="185" spans="1:7" x14ac:dyDescent="0.3">
      <c r="A185" s="70"/>
      <c r="B185" s="36" t="s">
        <v>335</v>
      </c>
      <c r="C185" s="32" t="s">
        <v>373</v>
      </c>
      <c r="D185" s="33">
        <v>1</v>
      </c>
      <c r="E185" s="34" t="s">
        <v>111</v>
      </c>
      <c r="F185" s="41">
        <v>2.9</v>
      </c>
      <c r="G185" s="41">
        <f t="shared" si="2"/>
        <v>2.9</v>
      </c>
    </row>
    <row r="186" spans="1:7" x14ac:dyDescent="0.3">
      <c r="A186" s="70"/>
      <c r="B186" s="36" t="s">
        <v>336</v>
      </c>
      <c r="C186" s="32" t="s">
        <v>374</v>
      </c>
      <c r="D186" s="33">
        <v>2</v>
      </c>
      <c r="E186" s="34" t="s">
        <v>92</v>
      </c>
      <c r="F186" s="41">
        <v>0.35</v>
      </c>
      <c r="G186" s="41">
        <f t="shared" si="2"/>
        <v>0.7</v>
      </c>
    </row>
    <row r="187" spans="1:7" x14ac:dyDescent="0.3">
      <c r="A187" s="70"/>
      <c r="B187" s="36" t="s">
        <v>337</v>
      </c>
      <c r="C187" s="32" t="s">
        <v>375</v>
      </c>
      <c r="D187" s="33">
        <v>2</v>
      </c>
      <c r="E187" s="34" t="s">
        <v>111</v>
      </c>
      <c r="F187" s="41">
        <v>3.7</v>
      </c>
      <c r="G187" s="41">
        <f t="shared" si="2"/>
        <v>7.4</v>
      </c>
    </row>
    <row r="188" spans="1:7" x14ac:dyDescent="0.3">
      <c r="A188" s="70"/>
      <c r="B188" s="36" t="s">
        <v>338</v>
      </c>
      <c r="C188" s="32" t="s">
        <v>376</v>
      </c>
      <c r="D188" s="33">
        <v>1</v>
      </c>
      <c r="E188" s="34" t="s">
        <v>92</v>
      </c>
      <c r="F188" s="41">
        <v>20</v>
      </c>
      <c r="G188" s="41">
        <f t="shared" si="2"/>
        <v>20</v>
      </c>
    </row>
    <row r="189" spans="1:7" x14ac:dyDescent="0.3">
      <c r="A189" s="70"/>
      <c r="B189" s="36" t="s">
        <v>339</v>
      </c>
      <c r="C189" s="32" t="s">
        <v>377</v>
      </c>
      <c r="D189" s="33">
        <v>1</v>
      </c>
      <c r="E189" s="34" t="s">
        <v>111</v>
      </c>
      <c r="F189" s="41">
        <v>0.15</v>
      </c>
      <c r="G189" s="41">
        <f t="shared" si="2"/>
        <v>0.15</v>
      </c>
    </row>
    <row r="190" spans="1:7" x14ac:dyDescent="0.3">
      <c r="A190" s="70"/>
      <c r="B190" s="36" t="s">
        <v>340</v>
      </c>
      <c r="C190" s="32" t="s">
        <v>378</v>
      </c>
      <c r="D190" s="33">
        <v>1</v>
      </c>
      <c r="E190" s="34" t="s">
        <v>111</v>
      </c>
      <c r="F190" s="41">
        <v>0.19</v>
      </c>
      <c r="G190" s="41">
        <f t="shared" si="2"/>
        <v>0.19</v>
      </c>
    </row>
    <row r="191" spans="1:7" x14ac:dyDescent="0.3">
      <c r="A191" s="70"/>
      <c r="B191" s="36" t="s">
        <v>341</v>
      </c>
      <c r="C191" s="32" t="s">
        <v>379</v>
      </c>
      <c r="D191" s="33">
        <v>4</v>
      </c>
      <c r="E191" s="34" t="s">
        <v>92</v>
      </c>
      <c r="F191" s="41">
        <v>0.01</v>
      </c>
      <c r="G191" s="41">
        <f t="shared" si="2"/>
        <v>0.04</v>
      </c>
    </row>
    <row r="192" spans="1:7" x14ac:dyDescent="0.3">
      <c r="A192" s="70"/>
      <c r="B192" s="36" t="s">
        <v>342</v>
      </c>
      <c r="C192" s="32" t="s">
        <v>380</v>
      </c>
      <c r="D192" s="33">
        <v>150</v>
      </c>
      <c r="E192" s="34" t="s">
        <v>92</v>
      </c>
      <c r="F192" s="41">
        <v>0.01</v>
      </c>
      <c r="G192" s="41">
        <f t="shared" si="2"/>
        <v>1.5</v>
      </c>
    </row>
    <row r="193" spans="1:7" x14ac:dyDescent="0.3">
      <c r="A193" s="70"/>
      <c r="B193" s="36" t="s">
        <v>343</v>
      </c>
      <c r="C193" s="32" t="s">
        <v>381</v>
      </c>
      <c r="D193" s="33">
        <v>10</v>
      </c>
      <c r="E193" s="34" t="s">
        <v>92</v>
      </c>
      <c r="F193" s="41">
        <v>0.01</v>
      </c>
      <c r="G193" s="41">
        <f t="shared" si="2"/>
        <v>0.1</v>
      </c>
    </row>
    <row r="194" spans="1:7" x14ac:dyDescent="0.3">
      <c r="A194" s="70"/>
      <c r="B194" s="36" t="s">
        <v>344</v>
      </c>
      <c r="C194" s="32" t="s">
        <v>382</v>
      </c>
      <c r="D194" s="33">
        <v>20</v>
      </c>
      <c r="E194" s="34" t="s">
        <v>92</v>
      </c>
      <c r="F194" s="41">
        <v>0.01</v>
      </c>
      <c r="G194" s="41">
        <f t="shared" si="2"/>
        <v>0.2</v>
      </c>
    </row>
    <row r="195" spans="1:7" x14ac:dyDescent="0.3">
      <c r="A195" s="70"/>
      <c r="B195" s="36" t="s">
        <v>345</v>
      </c>
      <c r="C195" s="32" t="s">
        <v>383</v>
      </c>
      <c r="D195" s="33">
        <v>6</v>
      </c>
      <c r="E195" s="34" t="s">
        <v>92</v>
      </c>
      <c r="F195" s="41">
        <v>0.01</v>
      </c>
      <c r="G195" s="41">
        <f t="shared" si="2"/>
        <v>0.06</v>
      </c>
    </row>
    <row r="196" spans="1:7" x14ac:dyDescent="0.3">
      <c r="A196" s="70"/>
      <c r="B196" s="36" t="s">
        <v>346</v>
      </c>
      <c r="C196" s="32" t="s">
        <v>384</v>
      </c>
      <c r="D196" s="33">
        <v>15</v>
      </c>
      <c r="E196" s="34" t="s">
        <v>111</v>
      </c>
      <c r="F196" s="41">
        <v>0.18</v>
      </c>
      <c r="G196" s="41">
        <f t="shared" ref="G196:G217" si="3">D196*F196</f>
        <v>2.6999999999999997</v>
      </c>
    </row>
    <row r="197" spans="1:7" x14ac:dyDescent="0.3">
      <c r="A197" s="70"/>
      <c r="B197" s="36" t="s">
        <v>347</v>
      </c>
      <c r="C197" s="32" t="s">
        <v>385</v>
      </c>
      <c r="D197" s="33">
        <v>6</v>
      </c>
      <c r="E197" s="34" t="s">
        <v>111</v>
      </c>
      <c r="F197" s="41">
        <v>0.18</v>
      </c>
      <c r="G197" s="41">
        <f t="shared" si="3"/>
        <v>1.08</v>
      </c>
    </row>
    <row r="198" spans="1:7" x14ac:dyDescent="0.3">
      <c r="A198" s="70"/>
      <c r="B198" s="36" t="s">
        <v>348</v>
      </c>
      <c r="C198" s="32" t="s">
        <v>386</v>
      </c>
      <c r="D198" s="33">
        <v>15</v>
      </c>
      <c r="E198" s="34" t="s">
        <v>111</v>
      </c>
      <c r="F198" s="41">
        <v>0.18</v>
      </c>
      <c r="G198" s="41">
        <f t="shared" si="3"/>
        <v>2.6999999999999997</v>
      </c>
    </row>
    <row r="199" spans="1:7" x14ac:dyDescent="0.3">
      <c r="A199" s="70"/>
      <c r="B199" s="36" t="s">
        <v>349</v>
      </c>
      <c r="C199" s="32" t="s">
        <v>387</v>
      </c>
      <c r="D199" s="33">
        <v>60</v>
      </c>
      <c r="E199" s="34" t="s">
        <v>111</v>
      </c>
      <c r="F199" s="41">
        <v>0.2</v>
      </c>
      <c r="G199" s="41">
        <f t="shared" si="3"/>
        <v>12</v>
      </c>
    </row>
    <row r="200" spans="1:7" x14ac:dyDescent="0.3">
      <c r="A200" s="70"/>
      <c r="B200" s="36" t="s">
        <v>350</v>
      </c>
      <c r="C200" s="32" t="s">
        <v>388</v>
      </c>
      <c r="D200" s="33">
        <v>10</v>
      </c>
      <c r="E200" s="34" t="s">
        <v>111</v>
      </c>
      <c r="F200" s="41">
        <v>0.18</v>
      </c>
      <c r="G200" s="41">
        <f t="shared" si="3"/>
        <v>1.7999999999999998</v>
      </c>
    </row>
    <row r="201" spans="1:7" x14ac:dyDescent="0.3">
      <c r="A201" s="70"/>
      <c r="B201" s="36" t="s">
        <v>351</v>
      </c>
      <c r="C201" s="32" t="s">
        <v>389</v>
      </c>
      <c r="D201" s="33">
        <v>2</v>
      </c>
      <c r="E201" s="34" t="s">
        <v>111</v>
      </c>
      <c r="F201" s="41">
        <v>0.2</v>
      </c>
      <c r="G201" s="41">
        <f t="shared" si="3"/>
        <v>0.4</v>
      </c>
    </row>
    <row r="202" spans="1:7" x14ac:dyDescent="0.3">
      <c r="A202" s="70"/>
      <c r="B202" s="36" t="s">
        <v>352</v>
      </c>
      <c r="C202" s="32" t="s">
        <v>390</v>
      </c>
      <c r="D202" s="33">
        <v>2</v>
      </c>
      <c r="E202" s="34" t="s">
        <v>111</v>
      </c>
      <c r="F202" s="41">
        <v>0.35</v>
      </c>
      <c r="G202" s="41">
        <f t="shared" si="3"/>
        <v>0.7</v>
      </c>
    </row>
    <row r="203" spans="1:7" x14ac:dyDescent="0.3">
      <c r="A203" s="70"/>
      <c r="B203" s="36" t="s">
        <v>353</v>
      </c>
      <c r="C203" s="32" t="s">
        <v>391</v>
      </c>
      <c r="D203" s="33">
        <v>2</v>
      </c>
      <c r="E203" s="34" t="s">
        <v>111</v>
      </c>
      <c r="F203" s="41">
        <v>0.35</v>
      </c>
      <c r="G203" s="41">
        <f t="shared" si="3"/>
        <v>0.7</v>
      </c>
    </row>
    <row r="204" spans="1:7" x14ac:dyDescent="0.3">
      <c r="A204" s="70"/>
      <c r="B204" s="36" t="s">
        <v>354</v>
      </c>
      <c r="C204" s="32" t="s">
        <v>392</v>
      </c>
      <c r="D204" s="33">
        <v>1</v>
      </c>
      <c r="E204" s="34" t="s">
        <v>111</v>
      </c>
      <c r="F204" s="41">
        <v>0.52</v>
      </c>
      <c r="G204" s="41">
        <f t="shared" si="3"/>
        <v>0.52</v>
      </c>
    </row>
    <row r="205" spans="1:7" x14ac:dyDescent="0.3">
      <c r="A205" s="70"/>
      <c r="B205" s="36" t="s">
        <v>355</v>
      </c>
      <c r="C205" s="32" t="s">
        <v>393</v>
      </c>
      <c r="D205" s="33">
        <v>5</v>
      </c>
      <c r="E205" s="34" t="s">
        <v>92</v>
      </c>
      <c r="F205" s="41">
        <v>0.32</v>
      </c>
      <c r="G205" s="41">
        <f t="shared" si="3"/>
        <v>1.6</v>
      </c>
    </row>
    <row r="206" spans="1:7" x14ac:dyDescent="0.3">
      <c r="A206" s="70"/>
      <c r="B206" s="36" t="s">
        <v>356</v>
      </c>
      <c r="C206" s="32" t="s">
        <v>394</v>
      </c>
      <c r="D206" s="33">
        <v>10</v>
      </c>
      <c r="E206" s="34" t="s">
        <v>92</v>
      </c>
      <c r="F206" s="41">
        <v>0.45</v>
      </c>
      <c r="G206" s="41">
        <f t="shared" si="3"/>
        <v>4.5</v>
      </c>
    </row>
    <row r="207" spans="1:7" x14ac:dyDescent="0.3">
      <c r="A207" s="70"/>
      <c r="B207" s="36" t="s">
        <v>357</v>
      </c>
      <c r="C207" s="32" t="s">
        <v>395</v>
      </c>
      <c r="D207" s="33">
        <v>2</v>
      </c>
      <c r="E207" s="34" t="s">
        <v>92</v>
      </c>
      <c r="F207" s="41">
        <v>0.2</v>
      </c>
      <c r="G207" s="41">
        <f t="shared" si="3"/>
        <v>0.4</v>
      </c>
    </row>
    <row r="208" spans="1:7" x14ac:dyDescent="0.3">
      <c r="A208" s="70"/>
      <c r="B208" s="36" t="s">
        <v>358</v>
      </c>
      <c r="C208" s="32" t="s">
        <v>396</v>
      </c>
      <c r="D208" s="33">
        <v>1</v>
      </c>
      <c r="E208" s="34" t="s">
        <v>92</v>
      </c>
      <c r="F208" s="41">
        <v>0.3</v>
      </c>
      <c r="G208" s="41">
        <f t="shared" si="3"/>
        <v>0.3</v>
      </c>
    </row>
    <row r="209" spans="1:7" x14ac:dyDescent="0.3">
      <c r="A209" s="70"/>
      <c r="B209" s="36" t="s">
        <v>359</v>
      </c>
      <c r="C209" s="32" t="s">
        <v>397</v>
      </c>
      <c r="D209" s="33">
        <v>1</v>
      </c>
      <c r="E209" s="34" t="s">
        <v>92</v>
      </c>
      <c r="F209" s="41">
        <v>1</v>
      </c>
      <c r="G209" s="41">
        <f t="shared" si="3"/>
        <v>1</v>
      </c>
    </row>
    <row r="210" spans="1:7" x14ac:dyDescent="0.3">
      <c r="A210" s="70"/>
      <c r="B210" s="36" t="s">
        <v>360</v>
      </c>
      <c r="C210" s="32" t="s">
        <v>398</v>
      </c>
      <c r="D210" s="33">
        <v>3</v>
      </c>
      <c r="E210" s="34" t="s">
        <v>92</v>
      </c>
      <c r="F210" s="41">
        <v>2.25</v>
      </c>
      <c r="G210" s="41">
        <f t="shared" si="3"/>
        <v>6.75</v>
      </c>
    </row>
    <row r="211" spans="1:7" x14ac:dyDescent="0.3">
      <c r="A211" s="70"/>
      <c r="B211" s="36" t="s">
        <v>361</v>
      </c>
      <c r="C211" s="32" t="s">
        <v>399</v>
      </c>
      <c r="D211" s="33">
        <v>6</v>
      </c>
      <c r="E211" s="34" t="s">
        <v>92</v>
      </c>
      <c r="F211" s="41">
        <v>1.7</v>
      </c>
      <c r="G211" s="41">
        <f t="shared" si="3"/>
        <v>10.199999999999999</v>
      </c>
    </row>
    <row r="212" spans="1:7" x14ac:dyDescent="0.3">
      <c r="A212" s="70"/>
      <c r="B212" s="36" t="s">
        <v>362</v>
      </c>
      <c r="C212" s="32" t="s">
        <v>400</v>
      </c>
      <c r="D212" s="33">
        <v>5</v>
      </c>
      <c r="E212" s="34" t="s">
        <v>92</v>
      </c>
      <c r="F212" s="41">
        <v>0.4</v>
      </c>
      <c r="G212" s="41">
        <f t="shared" si="3"/>
        <v>2</v>
      </c>
    </row>
    <row r="213" spans="1:7" x14ac:dyDescent="0.3">
      <c r="A213" s="70"/>
      <c r="B213" s="36" t="s">
        <v>363</v>
      </c>
      <c r="C213" s="32" t="s">
        <v>401</v>
      </c>
      <c r="D213" s="33">
        <v>1</v>
      </c>
      <c r="E213" s="34" t="s">
        <v>92</v>
      </c>
      <c r="F213" s="41">
        <v>2.25</v>
      </c>
      <c r="G213" s="41">
        <f t="shared" si="3"/>
        <v>2.25</v>
      </c>
    </row>
    <row r="214" spans="1:7" x14ac:dyDescent="0.3">
      <c r="A214" s="70"/>
      <c r="B214" s="36" t="s">
        <v>364</v>
      </c>
      <c r="C214" s="32" t="s">
        <v>402</v>
      </c>
      <c r="D214" s="33">
        <v>3</v>
      </c>
      <c r="E214" s="34" t="s">
        <v>92</v>
      </c>
      <c r="F214" s="41">
        <v>0.65</v>
      </c>
      <c r="G214" s="41">
        <f t="shared" si="3"/>
        <v>1.9500000000000002</v>
      </c>
    </row>
    <row r="215" spans="1:7" x14ac:dyDescent="0.3">
      <c r="A215" s="70"/>
      <c r="B215" s="36" t="s">
        <v>365</v>
      </c>
      <c r="C215" s="32" t="s">
        <v>403</v>
      </c>
      <c r="D215" s="33">
        <v>1</v>
      </c>
      <c r="E215" s="34" t="s">
        <v>92</v>
      </c>
      <c r="F215" s="41">
        <v>0.65</v>
      </c>
      <c r="G215" s="41">
        <f t="shared" si="3"/>
        <v>0.65</v>
      </c>
    </row>
    <row r="216" spans="1:7" x14ac:dyDescent="0.3">
      <c r="A216" s="70"/>
      <c r="B216" s="36" t="s">
        <v>366</v>
      </c>
      <c r="C216" s="32" t="s">
        <v>404</v>
      </c>
      <c r="D216" s="33">
        <v>1</v>
      </c>
      <c r="E216" s="34" t="s">
        <v>92</v>
      </c>
      <c r="F216" s="41">
        <v>2.1</v>
      </c>
      <c r="G216" s="41">
        <f t="shared" si="3"/>
        <v>2.1</v>
      </c>
    </row>
    <row r="217" spans="1:7" x14ac:dyDescent="0.3">
      <c r="A217" s="71"/>
      <c r="B217" s="36" t="s">
        <v>504</v>
      </c>
      <c r="C217" s="32" t="s">
        <v>475</v>
      </c>
      <c r="D217" s="33">
        <v>1</v>
      </c>
      <c r="E217" s="34" t="s">
        <v>92</v>
      </c>
      <c r="F217" s="41">
        <v>2.5</v>
      </c>
      <c r="G217" s="41">
        <f t="shared" si="3"/>
        <v>2.5</v>
      </c>
    </row>
    <row r="218" spans="1:7" ht="14.4" x14ac:dyDescent="0.3">
      <c r="C218" s="77" t="s">
        <v>486</v>
      </c>
      <c r="D218" s="77"/>
      <c r="E218" s="77"/>
      <c r="F218" s="75">
        <f>SUM(G2:G217)</f>
        <v>28136.062000000002</v>
      </c>
      <c r="G218" s="75"/>
    </row>
    <row r="219" spans="1:7" ht="14.4" x14ac:dyDescent="0.3">
      <c r="C219" s="78"/>
      <c r="D219" s="78"/>
      <c r="E219" s="78"/>
      <c r="F219" s="76"/>
      <c r="G219" s="76"/>
    </row>
  </sheetData>
  <autoFilter ref="A1:E219" xr:uid="{00000000-0009-0000-0000-000002000000}"/>
  <mergeCells count="12">
    <mergeCell ref="A51:A85"/>
    <mergeCell ref="A86:A88"/>
    <mergeCell ref="A2:A4"/>
    <mergeCell ref="A5:A10"/>
    <mergeCell ref="A11:A12"/>
    <mergeCell ref="A15:A19"/>
    <mergeCell ref="A20:A50"/>
    <mergeCell ref="A165:A217"/>
    <mergeCell ref="A113:A164"/>
    <mergeCell ref="F218:G219"/>
    <mergeCell ref="C218:E219"/>
    <mergeCell ref="A89:A112"/>
  </mergeCells>
  <phoneticPr fontId="20" type="noConversion"/>
  <conditionalFormatting sqref="C1"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1"/>
  <sheetViews>
    <sheetView workbookViewId="0">
      <selection activeCell="C31" sqref="C30:C31"/>
    </sheetView>
  </sheetViews>
  <sheetFormatPr defaultRowHeight="14.4" x14ac:dyDescent="0.3"/>
  <cols>
    <col min="1" max="1" width="29.6640625" bestFit="1" customWidth="1"/>
    <col min="2" max="2" width="44.33203125" bestFit="1" customWidth="1"/>
  </cols>
  <sheetData>
    <row r="1" spans="1:3" x14ac:dyDescent="0.3">
      <c r="A1" s="111"/>
      <c r="B1" s="14">
        <v>17</v>
      </c>
      <c r="C1">
        <v>170</v>
      </c>
    </row>
    <row r="2" spans="1:3" x14ac:dyDescent="0.3">
      <c r="A2" s="111"/>
      <c r="B2" s="14">
        <v>23</v>
      </c>
      <c r="C2">
        <f>230</f>
        <v>230</v>
      </c>
    </row>
    <row r="3" spans="1:3" ht="15" customHeight="1" thickBot="1" x14ac:dyDescent="0.35">
      <c r="A3" s="112"/>
      <c r="B3" s="15">
        <v>30</v>
      </c>
      <c r="C3">
        <f>300</f>
        <v>300</v>
      </c>
    </row>
    <row r="4" spans="1:3" x14ac:dyDescent="0.3">
      <c r="A4" s="109" t="s">
        <v>0</v>
      </c>
      <c r="B4" s="13" t="s">
        <v>21</v>
      </c>
      <c r="C4" t="e">
        <f xml:space="preserve"> TOP SIDE RETURN BOTTOM SUPPLY</f>
        <v>#NAME?</v>
      </c>
    </row>
    <row r="5" spans="1:3" x14ac:dyDescent="0.3">
      <c r="A5" s="113"/>
      <c r="B5" s="5" t="s">
        <v>22</v>
      </c>
      <c r="C5" t="e">
        <f xml:space="preserve"> TOP SIDE RETURN FRONT SUPPLY</f>
        <v>#NAME?</v>
      </c>
    </row>
    <row r="6" spans="1:3" ht="15" thickBot="1" x14ac:dyDescent="0.35">
      <c r="A6" s="110"/>
      <c r="B6" s="2" t="s">
        <v>23</v>
      </c>
      <c r="C6" t="e">
        <f xml:space="preserve"> FRONT SIDE RETURN BOTTOM SUPPLY</f>
        <v>#NAME?</v>
      </c>
    </row>
    <row r="7" spans="1:3" x14ac:dyDescent="0.3">
      <c r="A7" s="106" t="s">
        <v>1</v>
      </c>
      <c r="B7" s="4" t="s">
        <v>24</v>
      </c>
      <c r="C7" t="e">
        <f>Left</f>
        <v>#NAME?</v>
      </c>
    </row>
    <row r="8" spans="1:3" ht="15" customHeight="1" thickBot="1" x14ac:dyDescent="0.35">
      <c r="A8" s="108"/>
      <c r="B8" s="2" t="s">
        <v>25</v>
      </c>
      <c r="C8" t="e">
        <f>Right</f>
        <v>#NAME?</v>
      </c>
    </row>
    <row r="9" spans="1:3" x14ac:dyDescent="0.3">
      <c r="A9" s="109" t="s">
        <v>2</v>
      </c>
      <c r="B9" s="4" t="s">
        <v>24</v>
      </c>
      <c r="C9">
        <f xml:space="preserve"> 20/28</f>
        <v>0.7142857142857143</v>
      </c>
    </row>
    <row r="10" spans="1:3" ht="15" customHeight="1" thickBot="1" x14ac:dyDescent="0.35">
      <c r="A10" s="110"/>
      <c r="B10" s="2" t="s">
        <v>26</v>
      </c>
      <c r="C10">
        <f>20/30</f>
        <v>0.66666666666666663</v>
      </c>
    </row>
    <row r="11" spans="1:3" x14ac:dyDescent="0.3">
      <c r="A11" s="109" t="s">
        <v>3</v>
      </c>
      <c r="B11" s="4" t="s">
        <v>27</v>
      </c>
      <c r="C11" t="s">
        <v>28</v>
      </c>
    </row>
    <row r="12" spans="1:3" ht="15" thickBot="1" x14ac:dyDescent="0.35">
      <c r="A12" s="110"/>
      <c r="B12" s="2">
        <v>0</v>
      </c>
      <c r="C12" t="e">
        <f xml:space="preserve"> NONE</f>
        <v>#NAME?</v>
      </c>
    </row>
    <row r="13" spans="1:3" x14ac:dyDescent="0.3">
      <c r="A13" s="106" t="s">
        <v>4</v>
      </c>
      <c r="B13" s="4" t="s">
        <v>26</v>
      </c>
      <c r="C13" t="s">
        <v>29</v>
      </c>
    </row>
    <row r="14" spans="1:3" x14ac:dyDescent="0.3">
      <c r="A14" s="107"/>
      <c r="B14" s="5" t="s">
        <v>24</v>
      </c>
      <c r="C14" t="s">
        <v>30</v>
      </c>
    </row>
    <row r="15" spans="1:3" ht="15" thickBot="1" x14ac:dyDescent="0.35">
      <c r="A15" s="108"/>
      <c r="B15" s="2" t="s">
        <v>27</v>
      </c>
      <c r="C15" t="e">
        <f xml:space="preserve"> …. Pa ESP</f>
        <v>#NAME?</v>
      </c>
    </row>
    <row r="16" spans="1:3" x14ac:dyDescent="0.3">
      <c r="A16" s="109" t="s">
        <v>5</v>
      </c>
      <c r="B16" s="4">
        <v>1</v>
      </c>
      <c r="C16" t="e">
        <f xml:space="preserve"> ON TOP</f>
        <v>#NAME?</v>
      </c>
    </row>
    <row r="17" spans="1:3" ht="15" thickBot="1" x14ac:dyDescent="0.35">
      <c r="A17" s="110"/>
      <c r="B17" s="2">
        <v>0</v>
      </c>
      <c r="C17" t="e">
        <f xml:space="preserve"> NONE</f>
        <v>#NAME?</v>
      </c>
    </row>
    <row r="18" spans="1:3" x14ac:dyDescent="0.3">
      <c r="A18" s="106" t="s">
        <v>6</v>
      </c>
      <c r="B18" s="4" t="s">
        <v>27</v>
      </c>
      <c r="C18" t="e">
        <f>RETURN and SUPPLY Avg Temp Sensor</f>
        <v>#NAME?</v>
      </c>
    </row>
    <row r="19" spans="1:3" ht="15" thickBot="1" x14ac:dyDescent="0.35">
      <c r="A19" s="108"/>
      <c r="B19" s="2" t="s">
        <v>31</v>
      </c>
      <c r="C19" t="e">
        <f xml:space="preserve"> RETURN and SUPPLY Temp/Hum</f>
        <v>#NAME?</v>
      </c>
    </row>
    <row r="20" spans="1:3" x14ac:dyDescent="0.3">
      <c r="A20" s="106" t="s">
        <v>7</v>
      </c>
      <c r="B20" s="4" t="s">
        <v>27</v>
      </c>
      <c r="C20" t="e">
        <f xml:space="preserve"> Wire Type</f>
        <v>#NAME?</v>
      </c>
    </row>
    <row r="21" spans="1:3" ht="15" thickBot="1" x14ac:dyDescent="0.35">
      <c r="A21" s="108"/>
      <c r="B21" s="2" t="s">
        <v>31</v>
      </c>
      <c r="C21" t="e">
        <f xml:space="preserve"> Additional Leak Sensor</f>
        <v>#NAME?</v>
      </c>
    </row>
    <row r="22" spans="1:3" x14ac:dyDescent="0.3">
      <c r="A22" s="106" t="s">
        <v>8</v>
      </c>
      <c r="B22" s="6" t="s">
        <v>32</v>
      </c>
      <c r="C22" t="s">
        <v>33</v>
      </c>
    </row>
    <row r="23" spans="1:3" x14ac:dyDescent="0.3">
      <c r="A23" s="107"/>
      <c r="B23" s="7" t="s">
        <v>22</v>
      </c>
      <c r="C23" t="s">
        <v>34</v>
      </c>
    </row>
    <row r="24" spans="1:3" x14ac:dyDescent="0.3">
      <c r="A24" s="107"/>
      <c r="B24" s="8">
        <v>2</v>
      </c>
      <c r="C24" t="s">
        <v>36</v>
      </c>
    </row>
    <row r="25" spans="1:3" x14ac:dyDescent="0.3">
      <c r="A25" s="107"/>
      <c r="B25" s="7">
        <v>3</v>
      </c>
      <c r="C25" t="s">
        <v>35</v>
      </c>
    </row>
    <row r="26" spans="1:3" x14ac:dyDescent="0.3">
      <c r="A26" s="107"/>
      <c r="B26" s="7" t="s">
        <v>37</v>
      </c>
      <c r="C26" t="s">
        <v>38</v>
      </c>
    </row>
    <row r="27" spans="1:3" ht="15" thickBot="1" x14ac:dyDescent="0.35">
      <c r="A27" s="108"/>
      <c r="B27" s="9" t="s">
        <v>39</v>
      </c>
      <c r="C27" t="e">
        <f xml:space="preserve"> Pressure Independent Control Valve</f>
        <v>#NAME?</v>
      </c>
    </row>
    <row r="28" spans="1:3" x14ac:dyDescent="0.3">
      <c r="A28" s="106" t="s">
        <v>9</v>
      </c>
      <c r="B28" s="4">
        <v>0</v>
      </c>
      <c r="C28" t="e">
        <f xml:space="preserve"> NONE</f>
        <v>#NAME?</v>
      </c>
    </row>
    <row r="29" spans="1:3" x14ac:dyDescent="0.3">
      <c r="A29" s="107"/>
      <c r="B29" s="5">
        <v>1</v>
      </c>
      <c r="C29" t="e">
        <f xml:space="preserve"> Corridors dP</f>
        <v>#NAME?</v>
      </c>
    </row>
    <row r="30" spans="1:3" x14ac:dyDescent="0.3">
      <c r="A30" s="107"/>
      <c r="B30" s="5">
        <v>2</v>
      </c>
      <c r="C30" t="e">
        <f xml:space="preserve"> Double dP</f>
        <v>#NAME?</v>
      </c>
    </row>
    <row r="31" spans="1:3" x14ac:dyDescent="0.3">
      <c r="A31" s="107"/>
      <c r="B31" s="5">
        <v>3</v>
      </c>
      <c r="C31" t="s">
        <v>40</v>
      </c>
    </row>
    <row r="32" spans="1:3" x14ac:dyDescent="0.3">
      <c r="A32" s="107"/>
      <c r="B32" s="5">
        <v>4</v>
      </c>
      <c r="C32" t="s">
        <v>41</v>
      </c>
    </row>
    <row r="33" spans="1:3" ht="15" thickBot="1" x14ac:dyDescent="0.35">
      <c r="A33" s="108"/>
      <c r="B33" s="5">
        <v>5</v>
      </c>
      <c r="C33" t="s">
        <v>42</v>
      </c>
    </row>
    <row r="34" spans="1:3" x14ac:dyDescent="0.3">
      <c r="A34" s="106" t="s">
        <v>10</v>
      </c>
      <c r="B34" s="4">
        <v>0</v>
      </c>
      <c r="C34" t="s">
        <v>43</v>
      </c>
    </row>
    <row r="35" spans="1:3" ht="15" thickBot="1" x14ac:dyDescent="0.35">
      <c r="A35" s="108"/>
      <c r="B35" s="2">
        <v>1</v>
      </c>
      <c r="C35" t="s">
        <v>44</v>
      </c>
    </row>
    <row r="36" spans="1:3" x14ac:dyDescent="0.3">
      <c r="A36" s="106" t="s">
        <v>11</v>
      </c>
      <c r="B36" s="4" t="s">
        <v>32</v>
      </c>
      <c r="C36" t="e">
        <f xml:space="preserve"> NONE</f>
        <v>#NAME?</v>
      </c>
    </row>
    <row r="37" spans="1:3" x14ac:dyDescent="0.3">
      <c r="A37" s="107"/>
      <c r="B37" s="5" t="s">
        <v>46</v>
      </c>
    </row>
    <row r="38" spans="1:3" x14ac:dyDescent="0.3">
      <c r="A38" s="107"/>
      <c r="B38" s="5" t="s">
        <v>21</v>
      </c>
    </row>
    <row r="39" spans="1:3" ht="15" thickBot="1" x14ac:dyDescent="0.35">
      <c r="A39" s="107"/>
      <c r="B39" s="5" t="s">
        <v>45</v>
      </c>
      <c r="C39" t="e">
        <f xml:space="preserve"> Single SUPPLY w UltraCap</f>
        <v>#NAME?</v>
      </c>
    </row>
    <row r="40" spans="1:3" x14ac:dyDescent="0.3">
      <c r="A40" s="106" t="s">
        <v>12</v>
      </c>
      <c r="B40" s="4">
        <v>0</v>
      </c>
      <c r="C40" t="e">
        <f xml:space="preserve"> Double SUPPLY w Ats</f>
        <v>#NAME?</v>
      </c>
    </row>
    <row r="41" spans="1:3" ht="15" thickBot="1" x14ac:dyDescent="0.35">
      <c r="A41" s="108"/>
      <c r="B41" s="2">
        <v>3</v>
      </c>
      <c r="C41" t="e">
        <f xml:space="preserve"> Energy Analyser</f>
        <v>#NAME?</v>
      </c>
    </row>
    <row r="42" spans="1:3" x14ac:dyDescent="0.3">
      <c r="A42" s="106" t="s">
        <v>13</v>
      </c>
      <c r="B42" s="4">
        <v>0</v>
      </c>
      <c r="C42" t="s">
        <v>47</v>
      </c>
    </row>
    <row r="43" spans="1:3" x14ac:dyDescent="0.3">
      <c r="A43" s="107"/>
      <c r="B43" s="5">
        <v>1</v>
      </c>
      <c r="C43" t="s">
        <v>48</v>
      </c>
    </row>
    <row r="44" spans="1:3" ht="15" thickBot="1" x14ac:dyDescent="0.35">
      <c r="A44" s="108"/>
      <c r="B44" s="2">
        <v>2</v>
      </c>
      <c r="C44" t="e">
        <f xml:space="preserve"> Touch Panel</f>
        <v>#NAME?</v>
      </c>
    </row>
    <row r="45" spans="1:3" x14ac:dyDescent="0.3">
      <c r="A45" s="106" t="s">
        <v>14</v>
      </c>
      <c r="B45" s="4">
        <v>0</v>
      </c>
      <c r="C45" t="s">
        <v>49</v>
      </c>
    </row>
    <row r="46" spans="1:3" x14ac:dyDescent="0.3">
      <c r="A46" s="107"/>
      <c r="B46" s="5">
        <v>1</v>
      </c>
    </row>
    <row r="47" spans="1:3" ht="15" thickBot="1" x14ac:dyDescent="0.35">
      <c r="A47" s="108"/>
      <c r="B47" s="2">
        <v>2</v>
      </c>
      <c r="C47" t="e">
        <f xml:space="preserve"> Active PFC</f>
        <v>#NAME?</v>
      </c>
    </row>
    <row r="48" spans="1:3" x14ac:dyDescent="0.3">
      <c r="A48" s="106" t="s">
        <v>15</v>
      </c>
      <c r="B48" s="4">
        <v>0</v>
      </c>
      <c r="C48" t="e">
        <f xml:space="preserve"> NONE</f>
        <v>#NAME?</v>
      </c>
    </row>
    <row r="49" spans="1:3" ht="15" thickBot="1" x14ac:dyDescent="0.35">
      <c r="A49" s="108"/>
      <c r="B49" s="2" t="s">
        <v>46</v>
      </c>
      <c r="C49" t="e">
        <f>CF Type Socket</f>
        <v>#NAME?</v>
      </c>
    </row>
    <row r="50" spans="1:3" x14ac:dyDescent="0.3">
      <c r="A50" s="106" t="s">
        <v>16</v>
      </c>
      <c r="B50" s="4" t="s">
        <v>32</v>
      </c>
      <c r="C50" t="e">
        <f xml:space="preserve"> NONE</f>
        <v>#NAME?</v>
      </c>
    </row>
    <row r="51" spans="1:3" x14ac:dyDescent="0.3">
      <c r="A51" s="107"/>
      <c r="B51" s="5">
        <v>0</v>
      </c>
      <c r="C51" t="e">
        <f xml:space="preserve"> Shutdown ON fire</f>
        <v>#NAME?</v>
      </c>
    </row>
    <row r="52" spans="1:3" x14ac:dyDescent="0.3">
      <c r="A52" s="107"/>
      <c r="B52" s="5">
        <v>1</v>
      </c>
      <c r="C52" t="e">
        <f xml:space="preserve"> Continue ON fire</f>
        <v>#NAME?</v>
      </c>
    </row>
    <row r="53" spans="1:3" x14ac:dyDescent="0.3">
      <c r="A53" s="107"/>
      <c r="B53" s="5">
        <v>2</v>
      </c>
      <c r="C53" t="e">
        <f xml:space="preserve"> Shutdown with Smoke</f>
        <v>#NAME?</v>
      </c>
    </row>
    <row r="54" spans="1:3" ht="15" customHeight="1" thickBot="1" x14ac:dyDescent="0.35">
      <c r="A54" s="107"/>
      <c r="B54" s="5">
        <v>3</v>
      </c>
      <c r="C54" t="e">
        <f xml:space="preserve"> Continue with Smoke</f>
        <v>#NAME?</v>
      </c>
    </row>
    <row r="55" spans="1:3" x14ac:dyDescent="0.3">
      <c r="A55" s="116" t="s">
        <v>17</v>
      </c>
      <c r="B55" s="10">
        <v>0</v>
      </c>
      <c r="C55" t="e">
        <f>NONE</f>
        <v>#NAME?</v>
      </c>
    </row>
    <row r="56" spans="1:3" x14ac:dyDescent="0.3">
      <c r="A56" s="117"/>
      <c r="B56" s="11">
        <v>1</v>
      </c>
      <c r="C56" t="e">
        <f>BacNET IP</f>
        <v>#NAME?</v>
      </c>
    </row>
    <row r="57" spans="1:3" x14ac:dyDescent="0.3">
      <c r="A57" s="117"/>
      <c r="B57" s="11">
        <v>2</v>
      </c>
      <c r="C57" t="e">
        <f>BacNET MSTP</f>
        <v>#NAME?</v>
      </c>
    </row>
    <row r="58" spans="1:3" x14ac:dyDescent="0.3">
      <c r="A58" s="117"/>
      <c r="B58" s="11">
        <v>3</v>
      </c>
      <c r="C58" t="e">
        <f>Modbus RTU</f>
        <v>#NAME?</v>
      </c>
    </row>
    <row r="59" spans="1:3" ht="15" customHeight="1" thickBot="1" x14ac:dyDescent="0.35">
      <c r="A59" s="117"/>
      <c r="B59" s="11">
        <v>4</v>
      </c>
      <c r="C59" t="e">
        <f>Modbus TCP/IP</f>
        <v>#NAME?</v>
      </c>
    </row>
    <row r="60" spans="1:3" x14ac:dyDescent="0.3">
      <c r="A60" s="116" t="s">
        <v>18</v>
      </c>
      <c r="B60" s="10">
        <v>0</v>
      </c>
      <c r="C60" t="e">
        <f xml:space="preserve"> NONE</f>
        <v>#NAME?</v>
      </c>
    </row>
    <row r="61" spans="1:3" x14ac:dyDescent="0.3">
      <c r="A61" s="117"/>
      <c r="B61" s="11">
        <v>1</v>
      </c>
      <c r="C61" t="e">
        <f>Teamwork</f>
        <v>#NAME?</v>
      </c>
    </row>
    <row r="62" spans="1:3" x14ac:dyDescent="0.3">
      <c r="A62" s="117"/>
      <c r="B62" s="11">
        <v>2</v>
      </c>
      <c r="C62" t="e">
        <f>WSCO</f>
        <v>#NAME?</v>
      </c>
    </row>
    <row r="63" spans="1:3" ht="15" customHeight="1" thickBot="1" x14ac:dyDescent="0.35">
      <c r="A63" s="117"/>
      <c r="B63" s="11">
        <v>3</v>
      </c>
      <c r="C63" t="e">
        <f>Teamwork and WSCO</f>
        <v>#NAME?</v>
      </c>
    </row>
    <row r="64" spans="1:3" x14ac:dyDescent="0.3">
      <c r="A64" s="109" t="s">
        <v>19</v>
      </c>
      <c r="B64" s="4" t="s">
        <v>22</v>
      </c>
      <c r="C64" t="s">
        <v>50</v>
      </c>
    </row>
    <row r="65" spans="1:3" x14ac:dyDescent="0.3">
      <c r="A65" s="113"/>
      <c r="B65" s="5" t="s">
        <v>21</v>
      </c>
      <c r="C65" t="s">
        <v>51</v>
      </c>
    </row>
    <row r="66" spans="1:3" ht="15" customHeight="1" thickBot="1" x14ac:dyDescent="0.35">
      <c r="A66" s="110"/>
      <c r="B66" s="2" t="s">
        <v>46</v>
      </c>
      <c r="C66" t="s">
        <v>52</v>
      </c>
    </row>
    <row r="67" spans="1:3" x14ac:dyDescent="0.3">
      <c r="A67" s="109" t="s">
        <v>20</v>
      </c>
      <c r="B67" s="12">
        <v>0</v>
      </c>
      <c r="C67" t="s">
        <v>53</v>
      </c>
    </row>
    <row r="68" spans="1:3" ht="15" thickBot="1" x14ac:dyDescent="0.35">
      <c r="A68" s="110"/>
      <c r="B68" s="2">
        <v>1</v>
      </c>
      <c r="C68" t="s">
        <v>54</v>
      </c>
    </row>
    <row r="69" spans="1:3" ht="15" thickBot="1" x14ac:dyDescent="0.35">
      <c r="A69" s="26"/>
      <c r="B69" s="3">
        <v>0</v>
      </c>
    </row>
    <row r="70" spans="1:3" ht="16.2" x14ac:dyDescent="0.3">
      <c r="A70" s="114" t="s">
        <v>9</v>
      </c>
      <c r="B70" s="3">
        <v>1</v>
      </c>
      <c r="C70" s="1" t="s">
        <v>76</v>
      </c>
    </row>
    <row r="71" spans="1:3" ht="15" thickBot="1" x14ac:dyDescent="0.35">
      <c r="A71" s="115"/>
      <c r="B71" s="3">
        <v>2</v>
      </c>
      <c r="C71" s="2" t="s">
        <v>77</v>
      </c>
    </row>
  </sheetData>
  <mergeCells count="23">
    <mergeCell ref="A70:A71"/>
    <mergeCell ref="A36:A39"/>
    <mergeCell ref="A40:A41"/>
    <mergeCell ref="A28:A33"/>
    <mergeCell ref="A34:A35"/>
    <mergeCell ref="A42:A44"/>
    <mergeCell ref="A45:A47"/>
    <mergeCell ref="A48:A49"/>
    <mergeCell ref="A50:A54"/>
    <mergeCell ref="A55:A59"/>
    <mergeCell ref="A60:A63"/>
    <mergeCell ref="A64:A66"/>
    <mergeCell ref="A67:A68"/>
    <mergeCell ref="A1:A3"/>
    <mergeCell ref="A4:A6"/>
    <mergeCell ref="A7:A8"/>
    <mergeCell ref="A9:A10"/>
    <mergeCell ref="A11:A12"/>
    <mergeCell ref="A13:A15"/>
    <mergeCell ref="A16:A17"/>
    <mergeCell ref="A18:A19"/>
    <mergeCell ref="A20:A21"/>
    <mergeCell ref="A22:A27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1</vt:i4>
      </vt:variant>
    </vt:vector>
  </HeadingPairs>
  <TitlesOfParts>
    <vt:vector size="5" baseType="lpstr">
      <vt:lpstr>Template3</vt:lpstr>
      <vt:lpstr>Selection List</vt:lpstr>
      <vt:lpstr>Sheet1</vt:lpstr>
      <vt:lpstr>Sayfa2</vt:lpstr>
      <vt:lpstr>Template3!Yazdırma_Alanı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2026-06-08T07:24:37Z</dcterms:modified>
</cp:coreProperties>
</file>